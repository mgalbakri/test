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nabati rest. (3)" sheetId="3" r:id="rId1"/>
    <sheet name="nabati rest. (2)" sheetId="2" r:id="rId2"/>
    <sheet name="nabati rest." sheetId="1" r:id="rId3"/>
  </sheets>
  <definedNames>
    <definedName name="_xlnm.Print_Area" localSheetId="2">'nabati rest.'!$A$1:$G$45</definedName>
    <definedName name="_xlnm.Print_Area" localSheetId="1">'nabati rest. (2)'!$A$1:$G$70</definedName>
    <definedName name="_xlnm.Print_Area" localSheetId="0">'nabati rest. (3)'!$A$1:$G$82</definedName>
    <definedName name="_xlnm.Print_Titles" localSheetId="2">'nabati rest.'!$1:$9</definedName>
    <definedName name="_xlnm.Print_Titles" localSheetId="1">'nabati rest. (2)'!$1:$9</definedName>
    <definedName name="_xlnm.Print_Titles" localSheetId="0">'nabati rest. (3)'!$1:$9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<sst xmlns="http://schemas.openxmlformats.org/spreadsheetml/2006/main" count="235" uniqueCount="135">
  <si>
    <t>TO : Mr. Mohammed Bakri</t>
  </si>
  <si>
    <t>Quotation No. : R1-M.A. 740 - 26</t>
  </si>
  <si>
    <t xml:space="preserve">Att. </t>
  </si>
  <si>
    <t>Date : 20 /07/2026</t>
  </si>
  <si>
    <t>PROJECT : Mr. Mohammed &amp; Mrs. Aziza Villa - Jeddah</t>
  </si>
  <si>
    <t xml:space="preserve">Description                       </t>
  </si>
  <si>
    <t>Unit</t>
  </si>
  <si>
    <t xml:space="preserve">Quantity </t>
  </si>
  <si>
    <t>Unit Price</t>
  </si>
  <si>
    <t xml:space="preserve">TOTAL  </t>
  </si>
  <si>
    <t>m2</t>
  </si>
  <si>
    <t>The value of  According to the following :</t>
  </si>
  <si>
    <t xml:space="preserve">GROUND FLOOR - Entance Salon </t>
  </si>
  <si>
    <r>
      <rPr>
        <sz val="14"/>
        <rFont val="Arial"/>
        <charset val="134"/>
      </rPr>
      <t xml:space="preserve">** Supply and installation wall cladding included 2 cabinet Made of MDF W/R with Beech veneer stain finish size 5000 x H = 2800 mm x (D= 450 mm for shelving cabinet &amp; D = 600 mm for ABAYA cabinet include LED Light under the cladding  @ </t>
    </r>
    <r>
      <rPr>
        <b/>
        <sz val="14"/>
        <rFont val="Arial"/>
        <charset val="134"/>
      </rPr>
      <t>G.F. Entrance</t>
    </r>
    <r>
      <rPr>
        <sz val="14"/>
        <rFont val="Arial"/>
        <charset val="134"/>
      </rPr>
      <t xml:space="preserve"> as per desgin  </t>
    </r>
  </si>
  <si>
    <t>** Supply and installation  Soundproog Rubber wall Cladding with Gybsum board and Rock wool base paint @ G.F. TV Wall</t>
  </si>
  <si>
    <r>
      <rPr>
        <sz val="14"/>
        <color theme="1"/>
        <rFont val="Arial"/>
        <charset val="134"/>
      </rPr>
      <t>**Supply and installation open shelves made of MDF W/R with doku paint size W= 1400 x H = 2800 mmx D = 350mm @</t>
    </r>
    <r>
      <rPr>
        <b/>
        <sz val="14"/>
        <color theme="1"/>
        <rFont val="Arial"/>
        <charset val="134"/>
      </rPr>
      <t xml:space="preserve"> G.F. salon</t>
    </r>
    <r>
      <rPr>
        <sz val="14"/>
        <color theme="1"/>
        <rFont val="Arial"/>
        <charset val="134"/>
      </rPr>
      <t xml:space="preserve"> ( on either side of the TV ) as per desgin </t>
    </r>
  </si>
  <si>
    <t>unit</t>
  </si>
  <si>
    <r>
      <rPr>
        <sz val="14"/>
        <rFont val="Arial"/>
        <charset val="134"/>
      </rPr>
      <t xml:space="preserve">** Supply and installation 6 wall shelves different sizes MDF W/R with doku paint @ </t>
    </r>
    <r>
      <rPr>
        <b/>
        <sz val="14"/>
        <rFont val="Arial"/>
        <charset val="134"/>
      </rPr>
      <t xml:space="preserve"> G.F. Salon </t>
    </r>
    <r>
      <rPr>
        <sz val="14"/>
        <rFont val="Arial"/>
        <charset val="134"/>
      </rPr>
      <t xml:space="preserve">as per design </t>
    </r>
  </si>
  <si>
    <t>LS</t>
  </si>
  <si>
    <r>
      <rPr>
        <sz val="14"/>
        <rFont val="Arial"/>
        <charset val="134"/>
      </rPr>
      <t xml:space="preserve">** Supply and installation wall cladding included Niche  Made of Gypsumn Board with Paint  finish size W = 2400 x H = 2800 mm x D = 350 mm@ </t>
    </r>
    <r>
      <rPr>
        <b/>
        <sz val="14"/>
        <rFont val="Arial"/>
        <charset val="134"/>
      </rPr>
      <t>G.F. salon</t>
    </r>
    <r>
      <rPr>
        <sz val="14"/>
        <rFont val="Arial"/>
        <charset val="134"/>
      </rPr>
      <t xml:space="preserve">( TV backround ) as per design </t>
    </r>
  </si>
  <si>
    <r>
      <rPr>
        <sz val="14"/>
        <rFont val="Arial"/>
        <charset val="134"/>
      </rPr>
      <t xml:space="preserve">** Supply and installation wall Cladding Cement board with base paint &amp; Ceiling paint @ </t>
    </r>
    <r>
      <rPr>
        <b/>
        <sz val="14"/>
        <rFont val="Arial"/>
        <charset val="134"/>
      </rPr>
      <t>G.F. Guests Bathroom</t>
    </r>
  </si>
  <si>
    <r>
      <rPr>
        <sz val="14"/>
        <rFont val="Arial"/>
        <charset val="134"/>
      </rPr>
      <t xml:space="preserve">** removing the decorative Gypsum on the ceiling and paint @ </t>
    </r>
    <r>
      <rPr>
        <b/>
        <sz val="14"/>
        <rFont val="Arial"/>
        <charset val="134"/>
      </rPr>
      <t>G.F</t>
    </r>
    <r>
      <rPr>
        <sz val="14"/>
        <rFont val="Arial"/>
        <charset val="134"/>
      </rPr>
      <t xml:space="preserve">. </t>
    </r>
    <r>
      <rPr>
        <b/>
        <sz val="14"/>
        <rFont val="Arial"/>
        <charset val="134"/>
      </rPr>
      <t xml:space="preserve">Entrance </t>
    </r>
  </si>
  <si>
    <r>
      <rPr>
        <sz val="14"/>
        <rFont val="Arial"/>
        <charset val="134"/>
      </rPr>
      <t>** supply and Apply wall &amp; Ceiling  paint</t>
    </r>
    <r>
      <rPr>
        <b/>
        <sz val="14"/>
        <rFont val="Arial"/>
        <charset val="134"/>
      </rPr>
      <t xml:space="preserve"> @ Entarnce Salon</t>
    </r>
  </si>
  <si>
    <t>M2</t>
  </si>
  <si>
    <t>FRIST FLOOR - Powder Room Mrs. Aziza</t>
  </si>
  <si>
    <t xml:space="preserve">** Supply and installation Dressing cabinet with drawers makeup table Made of MDF and the  solid wood molding door leaf  doku paint finish size W = 2400 x H = 2800 mmx D =500 mm as per design </t>
  </si>
  <si>
    <t xml:space="preserve">unit </t>
  </si>
  <si>
    <t xml:space="preserve">** Supply and installation Closet with shelves Made of MDF and  solid wood molding door leaf size W = 1200 x H = 2800 mmx D =350 mm  </t>
  </si>
  <si>
    <t>Bath Room Mrs. Aziza</t>
  </si>
  <si>
    <t xml:space="preserve">** Removing the porcelain floors and walls in tow bathroom  and glass of the shower and sink included the making new insulation </t>
  </si>
  <si>
    <t xml:space="preserve">** Installation of porcelain for flooring and  wall @ shower area </t>
  </si>
  <si>
    <t xml:space="preserve">** Supply and installation 3 leaf cabinet  Made of MDF with Beech veneer  finish size W = 1700 x H = 2800 mmx D =500 mm @  as per design </t>
  </si>
  <si>
    <t xml:space="preserve">** Supply and installation Vanity  cabinet  Made of MDF with Beech veneer  finish size W = 1100 x H = 850 mmx D =500 mm as per design </t>
  </si>
  <si>
    <t xml:space="preserve">** Supply and installation Marble Top for Vanity  kind of Rossi Levanto          size W = 1100 x D = 500 mm x Thk.20 mm with Marble skirting  size L = 1100 x H= 150 x Tkh. 20 mm </t>
  </si>
  <si>
    <t>** Supply and installation Shower  Forsted Galss door &amp; Partition Thk.10mmwith size W= 1600 x  H = 1500 mm</t>
  </si>
  <si>
    <t xml:space="preserve">** supply and Apply wall &amp; Ceiling  paint </t>
  </si>
  <si>
    <t xml:space="preserve">OFFICE </t>
  </si>
  <si>
    <t xml:space="preserve">**Supply and installation open shelves with small low cabinet made of MDF W/R with doku paint size W= 2650  x H = 3000 mmx D = 500 mmx Tkh. 36mm  as per desgin </t>
  </si>
  <si>
    <r>
      <rPr>
        <sz val="14"/>
        <rFont val="Arial"/>
        <charset val="134"/>
      </rPr>
      <t xml:space="preserve">** Supply and installation cabinet  Made of MDF with Beech veneer and with decorative moulding door finish size W = 1440 x H = 3000 mmx D =400 mm  </t>
    </r>
    <r>
      <rPr>
        <sz val="14"/>
        <color rgb="FFFF0000"/>
        <rFont val="Arial"/>
        <charset val="134"/>
      </rPr>
      <t xml:space="preserve"> </t>
    </r>
  </si>
  <si>
    <t>POWDER ROOM Mr. Mohammed</t>
  </si>
  <si>
    <t xml:space="preserve">** Supply and installation 2 cabinet and  wall teble Made of MDF W/R with Beech veneer  with solid Beech wood stain  finish size W = 2500 x H = 2860 mmx D =500 mm  as per design </t>
  </si>
  <si>
    <t>BATH ROOM Mr. Mohammed</t>
  </si>
  <si>
    <t xml:space="preserve">** Removing the porcelain floors and walls and glass of the shower and sink included the making new insulation </t>
  </si>
  <si>
    <t xml:space="preserve">** Supply and installation Marble Top for Vanity  kind of Rossi Levanto           size W = 1100 x D = 500 mm x Thk.20 mm with Marble skirting   </t>
  </si>
  <si>
    <t xml:space="preserve">** Supply and installation Vanity  cabinet  Made of MDF with Beech veneer  finish size W = 1100 x H = 850 mmx D =500 mm  as per design </t>
  </si>
  <si>
    <t>HALLWAYS</t>
  </si>
  <si>
    <t>KITCHENETTE</t>
  </si>
  <si>
    <t>** Supply and installation Marble wall Bar kind of Verde Guatemale          size L = 1090 x D = 500 mm x Thk.20mm with Cladding same Marble size L = 1090 x H= 400 x Tkh. 20 mm</t>
  </si>
  <si>
    <t xml:space="preserve">** Supply and installation  Folding door Made of solid Beech wood frame and the panel made of Acrylic class paint finish  with special Rail size W = 1750 x H = 2800 mm  </t>
  </si>
  <si>
    <t>MASTER BEDROOM</t>
  </si>
  <si>
    <r>
      <rPr>
        <sz val="14"/>
        <rFont val="Arial"/>
        <charset val="134"/>
      </rPr>
      <t>** Supply and installation 2 cabinet and upper samll cabinet and 2 side wall drawers Made of MDF W/R with Beech veneer  with solid Beech wood moulding</t>
    </r>
    <r>
      <rPr>
        <sz val="14"/>
        <color rgb="FFFF0000"/>
        <rFont val="Arial"/>
        <charset val="134"/>
      </rPr>
      <t xml:space="preserve">( the panel for door leaf will be wall paper or fabric the price will be separate ) </t>
    </r>
    <r>
      <rPr>
        <sz val="14"/>
        <rFont val="Arial"/>
        <charset val="134"/>
      </rPr>
      <t xml:space="preserve">stain  finish size W = 4260 x H = 3000 mmx D =500 mm  as per design </t>
    </r>
  </si>
  <si>
    <t xml:space="preserve">** Supply and installation Headboard Made of MDF/WR with Upholstery &amp; LED Up the H.B. size L = 2600mm x H = 1000 mm ( The Fabric supply By Client ) </t>
  </si>
  <si>
    <r>
      <rPr>
        <sz val="14"/>
        <rFont val="Arial"/>
        <charset val="134"/>
      </rPr>
      <t>** Supply and installation 2 cabinet and lower Drawers and upper cabinet on either side of the TV Made of MDF W/R with Beech veneer  with solid Beech wood moulding</t>
    </r>
    <r>
      <rPr>
        <sz val="14"/>
        <color rgb="FFFF0000"/>
        <rFont val="Arial"/>
        <charset val="134"/>
      </rPr>
      <t xml:space="preserve"> ( the panel for door leaf will be wall paper or fabric the price will be separate )</t>
    </r>
    <r>
      <rPr>
        <sz val="14"/>
        <rFont val="Arial"/>
        <charset val="134"/>
      </rPr>
      <t xml:space="preserve"> stain  finish size W = 4260 x H = 3000 mmx D =500 mm @  TV area  as per design Item No. 14</t>
    </r>
  </si>
  <si>
    <t>NOTES :</t>
  </si>
  <si>
    <t>* all lighting are not included ( will be submited The Price after selecting the type and model</t>
  </si>
  <si>
    <r>
      <t>*</t>
    </r>
    <r>
      <rPr>
        <sz val="12"/>
        <color rgb="FFFF0000"/>
        <rFont val="Arial"/>
        <charset val="134"/>
      </rPr>
      <t xml:space="preserve"> The Electrice work will be submit price after checking what is required</t>
    </r>
  </si>
  <si>
    <t>* The Sink and Mixer and other Sanitary will be priced after checking what kind of required</t>
  </si>
  <si>
    <t>* Any changes in dimensions and specification after fabrication, 100% of changed item price will be charged accordingly</t>
  </si>
  <si>
    <t xml:space="preserve">*Prices are strctly based on the above proposed specification ,any changes will be subject to review and re-pricing </t>
  </si>
  <si>
    <t>* The project is re-measured for all items Excepet some of the items mentioned above the B.O.Q.</t>
  </si>
  <si>
    <t>* if the price rate is increased due to a major force, a new quotation shall be submitted</t>
  </si>
  <si>
    <t>Sub - Total</t>
  </si>
  <si>
    <t>VAT 15%</t>
  </si>
  <si>
    <t>المجموع</t>
  </si>
  <si>
    <t xml:space="preserve">Special Discount </t>
  </si>
  <si>
    <t xml:space="preserve">Total </t>
  </si>
  <si>
    <t>Delivery Time : 60 Working Days after Down Payment and approve the shop drawing &amp; Sample of wood and color</t>
  </si>
  <si>
    <t>Termes of payment : 60 % Down payment 30 % after fabrication and delivery  10% after complete finish</t>
  </si>
  <si>
    <r>
      <rPr>
        <sz val="10"/>
        <color indexed="18"/>
        <rFont val="Arial"/>
        <charset val="134"/>
      </rPr>
      <t xml:space="preserve">                      </t>
    </r>
    <r>
      <rPr>
        <b/>
        <i/>
        <sz val="9"/>
        <color indexed="18"/>
        <rFont val="Arial"/>
        <charset val="134"/>
      </rPr>
      <t xml:space="preserve">  </t>
    </r>
  </si>
  <si>
    <t xml:space="preserve"> </t>
  </si>
  <si>
    <t>TO : M/S Subair General Constraction Est.</t>
  </si>
  <si>
    <t>Quotation No. : RF - 635 R3-25</t>
  </si>
  <si>
    <t>Att. Eng. Ramzi Farhat</t>
  </si>
  <si>
    <t>Date : 01/01/2026</t>
  </si>
  <si>
    <t>PROJECT : Privet Villa -Al nuoras -Jeddah</t>
  </si>
  <si>
    <t>The value of wooden Work According to the following :</t>
  </si>
  <si>
    <t>steel</t>
  </si>
  <si>
    <t>** Supply and Installation wooden Cladding made of chipboard with laminet finish Kind of EGGER @ Entrance Coridor ELEV.A,B</t>
  </si>
  <si>
    <t>** Supply and Installation Bulgari Antique 6mm Mirror Cladding  @ Entrance Coridor ELEV. B</t>
  </si>
  <si>
    <t>** Supply and Installation SS Tubes 20x20mmx H = 3000 mm Broneze color@ Entrance Coridor Cladding ELEV.B</t>
  </si>
  <si>
    <t xml:space="preserve">** Supply and Installation wooden Half Column decorition for cladding @ Entrance Coridor  ELEV. A,B </t>
  </si>
  <si>
    <t>** Supply and Installation wooden Cladding made of 18mmMDF W/R Backing for Mirror &amp; Wallpaper @ Entrance Coridor ELEV.A,B</t>
  </si>
  <si>
    <t>** Supply and Installation wooden Hidden Door Made of chip board with Laminede finish @ Entrance Coridor size W=1150 x H = 2800 mm</t>
  </si>
  <si>
    <t xml:space="preserve">** Supply and Installation wooden  Low Drawers Cabinet  made of 18mm Chipboard with Lamineted finish Kind of EGGER for @ Dining Room area size L= 3160 x H = 840 x D= 600 mm </t>
  </si>
  <si>
    <t>** Supply and Installation wooden Cabinet  made of 18mm Chipboard with Lamineted finish Kind of EGGER for cabinet Body and door leaf solid frame and  Drawers , Shelves ( panel wallpaper By Cleint) @ Dining area size L= 4500x D= 450 x H = 2900 mm</t>
  </si>
  <si>
    <t>** Supply and Installation wooden  Low Cabinet  made of 18mm Chipboard with Lamineted finish Kind of EGGER for @ ABAY Room area size W= 500 x D= 600 x H = 750 mm</t>
  </si>
  <si>
    <t>** Supply and Installation wooden TV BOX  with Lower shelve  made of 18mm Chipboard with Lamineted finish Kind of EGGER for @ Living area size W=2290 x D= 400 x H = 2030 mm</t>
  </si>
  <si>
    <t>** Supply and Installation wooden Cladding made of 18mm Chipboard with Lamineted finish Kind of EGGER @ Around the ABAY cabinet size Thk. = 100 xL = 6440 mm x D = 600</t>
  </si>
  <si>
    <t>** Supply and Installation wooden ABAYA Closet Made of MDF W/R with Lamineted for  Cabinet Body and the Leaf frame solid wood and the panel (wallpaper  by Client )  size L = 1800 x H =2120 x D= 600mm</t>
  </si>
  <si>
    <t>** Supply and Installation wooden Shelev made of MDF W/R with lamineted  @  W.C.Living area size L=1250 x D= 500 x Thk. 400mm</t>
  </si>
  <si>
    <t>** Supply and Installation Bulgary Antice Mirror 6mm Cladding  @ Around the ABAYA cabinet size L = 6440 mm x W = 500 mm</t>
  </si>
  <si>
    <r>
      <rPr>
        <sz val="14"/>
        <rFont val="Arial"/>
        <charset val="134"/>
      </rPr>
      <t xml:space="preserve">** Supply and Installation wooden Cabinet  made of 18mm Chipboard with Lamineted finish Kind of EGGER for cabinet Body and door leaf solid frame and  Drawers , Shelves ( </t>
    </r>
    <r>
      <rPr>
        <sz val="14"/>
        <color rgb="FFFF0000"/>
        <rFont val="Arial"/>
        <charset val="134"/>
      </rPr>
      <t>The Door leaf panel 6mmClear</t>
    </r>
    <r>
      <rPr>
        <sz val="14"/>
        <rFont val="Arial"/>
        <charset val="134"/>
      </rPr>
      <t xml:space="preserve"> </t>
    </r>
    <r>
      <rPr>
        <sz val="14"/>
        <color rgb="FFFF0000"/>
        <rFont val="Arial"/>
        <charset val="134"/>
      </rPr>
      <t>Mirror Price is separate</t>
    </r>
    <r>
      <rPr>
        <sz val="14"/>
        <rFont val="Arial"/>
        <charset val="134"/>
      </rPr>
      <t>) @ M.Bedroom area  ELEV. A size L= 2850x D= 600 x H = 2780 mm</t>
    </r>
  </si>
  <si>
    <t xml:space="preserve">** Supply and Installation Clear Mirror 6mm  Cladding for 6 Nos. doors leaf @ M.Bedroom ELEV. A  </t>
  </si>
  <si>
    <t>** Supply and Installation wooden Cabinet  made of 18mm Chipboard with Lamineted finish Kind of EGGER for cabinet Body and door leaf solid frame and  Drawers , Shelves (The door leaf panel wall paper by client ) @ M.Bedroom area  ELEV. A size L= 3100x D= 600 x H = 2780 mm</t>
  </si>
  <si>
    <t>** Supply and Installation wooden Cabinet  made of 18mm Chipboard with Lamineted finish Kind of EGGER for cabinet Body and door leaf solid frame and  Drawers , Shelves (The door leaf panel wall pepar by client  ) @ M.Bedroom area  ELEV. B size L= 910 x D= 600 x H = 2780 mm</t>
  </si>
  <si>
    <t>** Supply and Installation wooden Cabinet  made of 18mm Chipboard with Lamineted finish Kind of EGGER for cabinet Body and door leaf solid frame and  Drawers , Shelves (The door leaf panel wall paper by client ) @ M.Bedroom area  ELEV. B  size L= 2400 x D= 600 x H = 2780 mm</t>
  </si>
  <si>
    <r>
      <rPr>
        <sz val="14"/>
        <rFont val="Arial"/>
        <charset val="134"/>
      </rPr>
      <t>** Supply and Installation wooden Cabinet  made of 18mm Chipboard with Lamineted finish Kind of EGGER for cabinet Body and door leaf solid frame and  Drawers , Shelves (</t>
    </r>
    <r>
      <rPr>
        <sz val="14"/>
        <color rgb="FFFF0000"/>
        <rFont val="Arial"/>
        <charset val="134"/>
      </rPr>
      <t>The Door Leaf panel 6mm Clear</t>
    </r>
    <r>
      <rPr>
        <sz val="14"/>
        <rFont val="Arial"/>
        <charset val="134"/>
      </rPr>
      <t xml:space="preserve"> </t>
    </r>
    <r>
      <rPr>
        <sz val="14"/>
        <color rgb="FFFF0000"/>
        <rFont val="Arial"/>
        <charset val="134"/>
      </rPr>
      <t>Mirror price is separate</t>
    </r>
    <r>
      <rPr>
        <sz val="14"/>
        <rFont val="Arial"/>
        <charset val="134"/>
      </rPr>
      <t xml:space="preserve"> ) @ M.Bedroom area  ELEV. B size L= 2850x D= 600 x H = 2780 mm</t>
    </r>
  </si>
  <si>
    <t xml:space="preserve">** Supply and Installation Clear Mirror 6mm  Cladding for 6 Nos. doors leaf @ M.Bedroom ELEV. B  </t>
  </si>
  <si>
    <r>
      <rPr>
        <sz val="14"/>
        <rFont val="Arial"/>
        <charset val="134"/>
      </rPr>
      <t xml:space="preserve">** Supply and Installation wooden Cabinet U Type made of 18mm Chipboard with Lamineted finish Kind of EGGER for cabinet Body and door leaf solid frame and  Drawers , Shelves (  </t>
    </r>
    <r>
      <rPr>
        <sz val="14"/>
        <color rgb="FFFF0000"/>
        <rFont val="Arial"/>
        <charset val="134"/>
      </rPr>
      <t>The doors leaf panel 6mm Clear Mirror price is separate</t>
    </r>
    <r>
      <rPr>
        <sz val="14"/>
        <rFont val="Arial"/>
        <charset val="134"/>
      </rPr>
      <t xml:space="preserve"> ) @ M. Bedroom Dressing area size L= 5840x D= 600x H = 2780 mm</t>
    </r>
  </si>
  <si>
    <t xml:space="preserve">** Supply and Installation Clear Mirror 6mm  Cladding for  doors leaf @ M.Bedroom Dressing area  </t>
  </si>
  <si>
    <t>** Supply and Installation wooden 2 cabinet with 2 set Drawers made of Chipboard with Lamineted Kind of EGGER   size of Each cabinet W = 600 x D= 500 x H = 3100 mm and size of each set  DrawersW = 400 mm x H = 690mm x D = 500mm @ M.Bedroom area ELEV. D</t>
  </si>
  <si>
    <r>
      <rPr>
        <sz val="14"/>
        <rFont val="Arial"/>
        <charset val="134"/>
      </rPr>
      <t xml:space="preserve">** Supply and Installation </t>
    </r>
    <r>
      <rPr>
        <sz val="14"/>
        <color rgb="FFFF0000"/>
        <rFont val="Arial"/>
        <charset val="134"/>
      </rPr>
      <t xml:space="preserve">Bulgari Antique </t>
    </r>
    <r>
      <rPr>
        <sz val="14"/>
        <rFont val="Arial"/>
        <charset val="134"/>
      </rPr>
      <t>6mm Mirror Cladding  @ M.Bedroom ELEV. D  size W=400 x H = 2200 mm</t>
    </r>
  </si>
  <si>
    <r>
      <rPr>
        <sz val="14"/>
        <rFont val="Arial"/>
        <charset val="134"/>
      </rPr>
      <t xml:space="preserve">** Supply and Installation </t>
    </r>
    <r>
      <rPr>
        <sz val="14"/>
        <color rgb="FFFF0000"/>
        <rFont val="Arial"/>
        <charset val="134"/>
      </rPr>
      <t xml:space="preserve">Clear Mirror </t>
    </r>
    <r>
      <rPr>
        <sz val="14"/>
        <rFont val="Arial"/>
        <charset val="134"/>
      </rPr>
      <t>6mm  Cladding  @ M.Bedroom ELEV. D  size W=1150 x H = 2200 mm</t>
    </r>
  </si>
  <si>
    <t>** Supply and Installation wooden Macke up table with drawers made of Chipboard  with Lamineted  Kind of EGGER @ M. Bedroom  area size W= 1500 x D= 600 x H = 850 mm ELEV. D</t>
  </si>
  <si>
    <t xml:space="preserve">** Supply and Installation wooden Frame around Head Board Made of solid wood with color as per EGGER Sheet W 70mm @ M. BedroomELEV. A </t>
  </si>
  <si>
    <t>LM</t>
  </si>
  <si>
    <t>** Supply and Installation wooden cabinet the panel and body made of MDF W/R with Oak veneer &amp; the frame solid Oak @ Room no. 1 size L= 3060x D= 600 x H = 2500 mm</t>
  </si>
  <si>
    <t>** Supply and Installation wooden L shape cabinet the panel made of MDF W/R with  Beech veneer &amp; the frame soild Beech wood @ Room no. 2 size L= 3400x D= 600 x H = 2800 mm</t>
  </si>
  <si>
    <t>** Supply and Installation wooden  U Shape cabinet the panel made of MDF W/R with Beech veneer &amp; the frame solid Beech wood @ Room no. 3 size L= 5000x D= 600 x H = 2800 mm</t>
  </si>
  <si>
    <t>** Supply and Installation wooden L shape cabinet the panel made of MDF W/R with Beech veneer &amp; the frame solid Beech wood  @ Room no. 4 size L= 3600x D= 600 x H = 2800 mm</t>
  </si>
  <si>
    <t>** Supply and Installation Hidden Lighting for all inside Cabinets( Eletrical wiring not included by the G. Contractor )</t>
  </si>
  <si>
    <t>NOTE : * The quote was made on basis of material specification shown in each item, and any difference that is requested from the customer or a change in material specificationor size requires an additional quote.</t>
  </si>
  <si>
    <t>* the Accessories are not  included Expete the hinges for cabinets &amp; Rial for Drawers are Included</t>
  </si>
  <si>
    <t>* any need for scaffolding and electricity provided by the G. Contractor</t>
  </si>
  <si>
    <t>* Any construction or Electrical  Extension work will be done by the General Contractor</t>
  </si>
  <si>
    <t xml:space="preserve">* our scope only wood  and  ,Steel Tube. The  Wallpaper  Fabric with Upholstery  and Marble  items are not include </t>
  </si>
  <si>
    <t>Delivery Time : 120 Working Days after Down Payment and approve the shop drawing &amp; Sample of wood and color</t>
  </si>
  <si>
    <t>Cheque under the Name of : modern Towers Co. شركة الابراج الحديثة للمقاولات</t>
  </si>
  <si>
    <t xml:space="preserve">OR Bank wire transfer to our Account as follow : </t>
  </si>
  <si>
    <t>Engr. M. Jamal Basri</t>
  </si>
  <si>
    <t>جدة – حي الروضة – شارع الانباري – ص ب ٨٤٧٢ – جدة ٢٣٤٣٥ – جوال ٠٥٠٤٦٩٧٤٩١</t>
  </si>
  <si>
    <t>Jeddah – Al Rwadah District – Al-Anbary St. - P.O.: 8472 – Jeddah 23435 – Mobile : 0504697491
Mjbasri@modern-towers.com</t>
  </si>
  <si>
    <t>عناية المهندس / فيصل ابو ريا              المحترم</t>
  </si>
  <si>
    <t>No. : ـDXB 235- 24</t>
  </si>
  <si>
    <t>المشروع : DXB طريق الملك عبدالله - الرياض</t>
  </si>
  <si>
    <t>Date : 13/ 07/ 2024</t>
  </si>
  <si>
    <t>سند تسليم بضاعة</t>
  </si>
  <si>
    <t xml:space="preserve">تتالف البضاعة المرسلة العميل بدينة الرياض حسب الاتي ادناه </t>
  </si>
  <si>
    <t xml:space="preserve"> واحدات ارفف </t>
  </si>
  <si>
    <t>Nos</t>
  </si>
  <si>
    <t xml:space="preserve">دواليب مطبخ </t>
  </si>
  <si>
    <t>طاولة قهوة</t>
  </si>
  <si>
    <t xml:space="preserve">Termes of payment : 100% upon confimation </t>
  </si>
  <si>
    <t>Saudi National Bank - Account No. 70400000209209</t>
  </si>
  <si>
    <t>IBAN No. SA1410000070400000209209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</si>
</sst>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* #,##0_);_(* \(#,##0\);_(* &quot;-&quot;??_);_(@_)"/>
  </numFmts>
  <fonts count="57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name val="Arial"/>
      <charset val="134"/>
    </font>
    <font>
      <b/>
      <sz val="14"/>
      <color indexed="12"/>
      <name val="Monotype Koufi"/>
      <charset val="178"/>
    </font>
    <font>
      <sz val="10"/>
      <color indexed="12"/>
      <name val="Arial"/>
      <charset val="134"/>
    </font>
    <font>
      <b/>
      <sz val="10"/>
      <color indexed="12"/>
      <name val="Arial"/>
      <charset val="134"/>
    </font>
    <font>
      <b/>
      <sz val="18"/>
      <color indexed="12"/>
      <name val="Monotype Koufi"/>
      <charset val="178"/>
    </font>
    <font>
      <sz val="11"/>
      <color indexed="12"/>
      <name val="Andalus"/>
      <charset val="134"/>
    </font>
    <font>
      <sz val="10"/>
      <color indexed="12"/>
      <name val="Andalus"/>
      <charset val="134"/>
    </font>
    <font>
      <b/>
      <sz val="10"/>
      <color indexed="12"/>
      <name val="Andalus"/>
      <charset val="134"/>
    </font>
    <font>
      <sz val="16"/>
      <color indexed="12"/>
      <name val="Andalus"/>
      <charset val="134"/>
    </font>
    <font>
      <b/>
      <sz val="11"/>
      <color theme="1"/>
      <name val="Calibri"/>
      <charset val="134"/>
      <scheme val="minor"/>
    </font>
    <font>
      <b/>
      <i/>
      <sz val="12"/>
      <name val="Arial"/>
      <charset val="134"/>
    </font>
    <font>
      <sz val="10"/>
      <color rgb="FF0000D4"/>
      <name val="Arial"/>
      <charset val="134"/>
    </font>
    <font>
      <b/>
      <sz val="12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0"/>
      <name val="Arial"/>
      <charset val="134"/>
    </font>
    <font>
      <b/>
      <sz val="14"/>
      <name val="Arial"/>
      <charset val="134"/>
    </font>
    <font>
      <b/>
      <sz val="10"/>
      <name val="Arial"/>
      <charset val="134"/>
    </font>
    <font>
      <b/>
      <sz val="12"/>
      <name val="Arial"/>
      <charset val="134"/>
    </font>
    <font>
      <b/>
      <sz val="12"/>
      <color rgb="FFFF0000"/>
      <name val="Arial"/>
      <charset val="134"/>
    </font>
    <font>
      <sz val="12"/>
      <name val="Arial"/>
      <charset val="134"/>
    </font>
    <font>
      <sz val="11"/>
      <name val="Arial"/>
      <charset val="134"/>
    </font>
    <font>
      <sz val="14"/>
      <name val="Arial"/>
      <charset val="134"/>
    </font>
    <font>
      <b/>
      <u/>
      <sz val="11"/>
      <name val="Arial"/>
      <charset val="134"/>
    </font>
    <font>
      <b/>
      <sz val="13"/>
      <name val="Arial"/>
      <charset val="134"/>
    </font>
    <font>
      <sz val="10"/>
      <color indexed="18"/>
      <name val="Arial"/>
      <charset val="134"/>
    </font>
    <font>
      <b/>
      <sz val="11"/>
      <color indexed="23"/>
      <name val="Arial"/>
      <charset val="134"/>
    </font>
    <font>
      <b/>
      <sz val="11"/>
      <color indexed="18"/>
      <name val="Arial"/>
      <charset val="134"/>
    </font>
    <font>
      <b/>
      <sz val="12"/>
      <color indexed="18"/>
      <name val="Arial"/>
      <charset val="134"/>
    </font>
    <font>
      <sz val="16"/>
      <color rgb="FF002060"/>
      <name val="Calibri"/>
      <charset val="134"/>
      <scheme val="minor"/>
    </font>
    <font>
      <b/>
      <sz val="14"/>
      <color rgb="FFFF0000"/>
      <name val="Arial"/>
      <charset val="134"/>
    </font>
    <font>
      <sz val="14"/>
      <color rgb="FFFF0000"/>
      <name val="Arial"/>
      <charset val="134"/>
    </font>
    <font>
      <sz val="14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rgb="FFFF0000"/>
      <name val="Arial"/>
      <charset val="134"/>
    </font>
    <font>
      <b/>
      <sz val="14"/>
      <color theme="1"/>
      <name val="Arial"/>
      <charset val="134"/>
    </font>
    <font>
      <b/>
      <i/>
      <sz val="9"/>
      <color indexed="18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1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medium">
        <color auto="1"/>
      </right>
      <top/>
      <bottom style="thin">
        <color theme="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theme="0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8" borderId="32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33" applyNumberFormat="0" applyFill="0" applyAlignment="0" applyProtection="0">
      <alignment vertical="center"/>
    </xf>
    <xf numFmtId="0" fontId="40" fillId="0" borderId="33" applyNumberFormat="0" applyFill="0" applyAlignment="0" applyProtection="0">
      <alignment vertical="center"/>
    </xf>
    <xf numFmtId="0" fontId="41" fillId="0" borderId="34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9" borderId="35" applyNumberFormat="0" applyAlignment="0" applyProtection="0">
      <alignment vertical="center"/>
    </xf>
    <xf numFmtId="0" fontId="43" fillId="10" borderId="36" applyNumberFormat="0" applyAlignment="0" applyProtection="0">
      <alignment vertical="center"/>
    </xf>
    <xf numFmtId="0" fontId="44" fillId="10" borderId="35" applyNumberFormat="0" applyAlignment="0" applyProtection="0">
      <alignment vertical="center"/>
    </xf>
    <xf numFmtId="0" fontId="45" fillId="11" borderId="37" applyNumberFormat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7" fillId="0" borderId="39" applyNumberFormat="0" applyFill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1" fillId="3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53" fillId="0" borderId="0"/>
  </cellStyleXfs>
  <cellXfs count="113">
    <xf numFmtId="0" fontId="0" fillId="0" borderId="0" xfId="0"/>
    <xf numFmtId="0" fontId="1" fillId="2" borderId="0" xfId="50" applyFill="1" applyAlignment="1">
      <alignment horizontal="left" vertical="center"/>
    </xf>
    <xf numFmtId="0" fontId="1" fillId="2" borderId="0" xfId="50" applyFill="1" applyAlignment="1">
      <alignment vertical="center"/>
    </xf>
    <xf numFmtId="0" fontId="2" fillId="2" borderId="0" xfId="50" applyFont="1" applyFill="1"/>
    <xf numFmtId="0" fontId="1" fillId="2" borderId="1" xfId="50" applyFill="1" applyBorder="1"/>
    <xf numFmtId="0" fontId="1" fillId="2" borderId="0" xfId="50" applyFill="1" applyAlignment="1">
      <alignment horizontal="left" readingOrder="1"/>
    </xf>
    <xf numFmtId="0" fontId="1" fillId="2" borderId="0" xfId="50" applyFill="1" applyAlignment="1">
      <alignment horizontal="center"/>
    </xf>
    <xf numFmtId="178" fontId="0" fillId="2" borderId="0" xfId="49" applyNumberFormat="1" applyFont="1" applyFill="1" applyAlignment="1">
      <alignment horizontal="center"/>
    </xf>
    <xf numFmtId="0" fontId="1" fillId="2" borderId="0" xfId="50" applyFill="1"/>
    <xf numFmtId="0" fontId="3" fillId="2" borderId="0" xfId="50" applyFont="1" applyFill="1" applyAlignment="1">
      <alignment horizontal="left" readingOrder="1"/>
    </xf>
    <xf numFmtId="0" fontId="4" fillId="2" borderId="0" xfId="50" applyFont="1" applyFill="1" applyAlignment="1">
      <alignment horizontal="center"/>
    </xf>
    <xf numFmtId="0" fontId="5" fillId="2" borderId="0" xfId="50" applyFont="1" applyFill="1" applyAlignment="1">
      <alignment horizontal="center"/>
    </xf>
    <xf numFmtId="178" fontId="5" fillId="2" borderId="0" xfId="49" applyNumberFormat="1" applyFont="1" applyFill="1" applyAlignment="1">
      <alignment horizontal="center"/>
    </xf>
    <xf numFmtId="0" fontId="6" fillId="2" borderId="0" xfId="50" applyFont="1" applyFill="1" applyAlignment="1">
      <alignment horizontal="center"/>
    </xf>
    <xf numFmtId="0" fontId="7" fillId="2" borderId="0" xfId="50" applyFont="1" applyFill="1" applyAlignment="1">
      <alignment horizontal="left" vertical="center" readingOrder="1"/>
    </xf>
    <xf numFmtId="0" fontId="8" fillId="2" borderId="0" xfId="50" applyFont="1" applyFill="1" applyAlignment="1">
      <alignment horizontal="center"/>
    </xf>
    <xf numFmtId="0" fontId="9" fillId="2" borderId="0" xfId="50" applyFont="1" applyFill="1" applyAlignment="1">
      <alignment horizontal="center"/>
    </xf>
    <xf numFmtId="178" fontId="9" fillId="2" borderId="0" xfId="49" applyNumberFormat="1" applyFont="1" applyFill="1" applyAlignment="1">
      <alignment horizontal="center"/>
    </xf>
    <xf numFmtId="0" fontId="10" fillId="2" borderId="0" xfId="50" applyFont="1" applyFill="1" applyAlignment="1">
      <alignment horizontal="center" vertical="center"/>
    </xf>
    <xf numFmtId="0" fontId="11" fillId="2" borderId="0" xfId="50" applyFont="1" applyFill="1" applyAlignment="1">
      <alignment horizontal="center"/>
    </xf>
    <xf numFmtId="178" fontId="11" fillId="2" borderId="0" xfId="49" applyNumberFormat="1" applyFont="1" applyFill="1" applyAlignment="1">
      <alignment horizontal="center"/>
    </xf>
    <xf numFmtId="0" fontId="12" fillId="2" borderId="0" xfId="50" applyFont="1" applyFill="1" applyAlignment="1">
      <alignment horizontal="left" readingOrder="1"/>
    </xf>
    <xf numFmtId="178" fontId="13" fillId="3" borderId="0" xfId="49" applyNumberFormat="1" applyFont="1" applyFill="1" applyAlignment="1">
      <alignment horizontal="center"/>
    </xf>
    <xf numFmtId="0" fontId="14" fillId="2" borderId="2" xfId="50" applyFont="1" applyFill="1" applyBorder="1" applyAlignment="1">
      <alignment horizontal="left" vertical="center" readingOrder="1"/>
    </xf>
    <xf numFmtId="0" fontId="15" fillId="2" borderId="3" xfId="50" applyFont="1" applyFill="1" applyBorder="1" applyAlignment="1">
      <alignment horizontal="center" vertical="center"/>
    </xf>
    <xf numFmtId="0" fontId="15" fillId="2" borderId="4" xfId="50" applyFont="1" applyFill="1" applyBorder="1" applyAlignment="1">
      <alignment horizontal="center" vertical="center"/>
    </xf>
    <xf numFmtId="0" fontId="15" fillId="2" borderId="5" xfId="50" applyFont="1" applyFill="1" applyBorder="1" applyAlignment="1">
      <alignment horizontal="center" vertical="center"/>
    </xf>
    <xf numFmtId="0" fontId="14" fillId="2" borderId="6" xfId="50" applyFont="1" applyFill="1" applyBorder="1" applyAlignment="1">
      <alignment horizontal="left" vertical="center" readingOrder="1"/>
    </xf>
    <xf numFmtId="0" fontId="15" fillId="2" borderId="7" xfId="50" applyFont="1" applyFill="1" applyBorder="1" applyAlignment="1">
      <alignment horizontal="center" vertical="center"/>
    </xf>
    <xf numFmtId="0" fontId="15" fillId="2" borderId="8" xfId="50" applyFont="1" applyFill="1" applyBorder="1" applyAlignment="1">
      <alignment horizontal="center" vertical="center"/>
    </xf>
    <xf numFmtId="0" fontId="15" fillId="2" borderId="9" xfId="50" applyFont="1" applyFill="1" applyBorder="1" applyAlignment="1">
      <alignment horizontal="center" vertical="center"/>
    </xf>
    <xf numFmtId="0" fontId="15" fillId="2" borderId="10" xfId="50" applyFont="1" applyFill="1" applyBorder="1" applyAlignment="1">
      <alignment horizontal="center" vertical="center"/>
    </xf>
    <xf numFmtId="0" fontId="15" fillId="2" borderId="0" xfId="50" applyFont="1" applyFill="1" applyAlignment="1">
      <alignment horizontal="center" vertical="center"/>
    </xf>
    <xf numFmtId="0" fontId="15" fillId="2" borderId="11" xfId="50" applyFont="1" applyFill="1" applyBorder="1" applyAlignment="1">
      <alignment horizontal="center" vertical="center"/>
    </xf>
    <xf numFmtId="0" fontId="16" fillId="4" borderId="12" xfId="50" applyFont="1" applyFill="1" applyBorder="1" applyAlignment="1">
      <alignment horizontal="left" vertical="center" wrapText="1" readingOrder="1"/>
    </xf>
    <xf numFmtId="0" fontId="16" fillId="4" borderId="13" xfId="50" applyFont="1" applyFill="1" applyBorder="1" applyAlignment="1">
      <alignment horizontal="center" vertical="center" wrapText="1"/>
    </xf>
    <xf numFmtId="178" fontId="16" fillId="4" borderId="13" xfId="49" applyNumberFormat="1" applyFont="1" applyFill="1" applyBorder="1" applyAlignment="1">
      <alignment horizontal="center" vertical="center" wrapText="1"/>
    </xf>
    <xf numFmtId="0" fontId="16" fillId="4" borderId="14" xfId="50" applyFont="1" applyFill="1" applyBorder="1" applyAlignment="1">
      <alignment horizontal="center" vertical="center" wrapText="1"/>
    </xf>
    <xf numFmtId="0" fontId="17" fillId="2" borderId="10" xfId="51" applyFont="1" applyFill="1" applyBorder="1" applyAlignment="1">
      <alignment horizontal="left" vertical="center" wrapText="1" readingOrder="1"/>
    </xf>
    <xf numFmtId="0" fontId="17" fillId="2" borderId="10" xfId="51" applyFont="1" applyFill="1" applyBorder="1" applyAlignment="1">
      <alignment horizontal="center" vertical="center" wrapText="1" readingOrder="1"/>
    </xf>
    <xf numFmtId="3" fontId="18" fillId="2" borderId="15" xfId="50" applyNumberFormat="1" applyFont="1" applyFill="1" applyBorder="1" applyAlignment="1">
      <alignment horizontal="center" vertical="center"/>
    </xf>
    <xf numFmtId="178" fontId="18" fillId="2" borderId="15" xfId="49" applyNumberFormat="1" applyFont="1" applyFill="1" applyBorder="1" applyAlignment="1">
      <alignment horizontal="center" vertical="center"/>
    </xf>
    <xf numFmtId="3" fontId="18" fillId="2" borderId="16" xfId="50" applyNumberFormat="1" applyFont="1" applyFill="1" applyBorder="1" applyAlignment="1">
      <alignment horizontal="center" vertical="center"/>
    </xf>
    <xf numFmtId="43" fontId="0" fillId="2" borderId="0" xfId="49" applyFont="1" applyFill="1" applyAlignment="1">
      <alignment horizontal="left" vertical="center"/>
    </xf>
    <xf numFmtId="43" fontId="1" fillId="2" borderId="0" xfId="50" applyNumberFormat="1" applyFill="1" applyAlignment="1">
      <alignment horizontal="left" vertical="center"/>
    </xf>
    <xf numFmtId="0" fontId="19" fillId="2" borderId="10" xfId="51" applyFont="1" applyFill="1" applyBorder="1" applyAlignment="1">
      <alignment horizontal="left" vertical="center" wrapText="1" readingOrder="1"/>
    </xf>
    <xf numFmtId="0" fontId="20" fillId="5" borderId="3" xfId="0" applyFont="1" applyFill="1" applyBorder="1" applyAlignment="1">
      <alignment horizontal="right" vertical="center" wrapText="1"/>
    </xf>
    <xf numFmtId="3" fontId="18" fillId="2" borderId="17" xfId="0" applyNumberFormat="1" applyFont="1" applyFill="1" applyBorder="1" applyAlignment="1">
      <alignment horizontal="center" vertical="center"/>
    </xf>
    <xf numFmtId="3" fontId="18" fillId="2" borderId="17" xfId="0" applyNumberFormat="1" applyFont="1" applyFill="1" applyBorder="1" applyAlignment="1">
      <alignment horizontal="center"/>
    </xf>
    <xf numFmtId="3" fontId="18" fillId="2" borderId="18" xfId="0" applyNumberFormat="1" applyFont="1" applyFill="1" applyBorder="1" applyAlignment="1">
      <alignment horizontal="center"/>
    </xf>
    <xf numFmtId="0" fontId="21" fillId="6" borderId="10" xfId="51" applyFont="1" applyFill="1" applyBorder="1" applyAlignment="1">
      <alignment vertical="center" wrapText="1"/>
    </xf>
    <xf numFmtId="3" fontId="22" fillId="2" borderId="15" xfId="0" applyNumberFormat="1" applyFont="1" applyFill="1" applyBorder="1" applyAlignment="1">
      <alignment horizontal="center" vertical="center"/>
    </xf>
    <xf numFmtId="3" fontId="22" fillId="2" borderId="11" xfId="0" applyNumberFormat="1" applyFont="1" applyFill="1" applyBorder="1" applyAlignment="1">
      <alignment horizontal="center" vertical="center"/>
    </xf>
    <xf numFmtId="3" fontId="21" fillId="3" borderId="15" xfId="0" applyNumberFormat="1" applyFont="1" applyFill="1" applyBorder="1" applyAlignment="1">
      <alignment horizontal="center" vertical="center"/>
    </xf>
    <xf numFmtId="3" fontId="2" fillId="2" borderId="15" xfId="0" applyNumberFormat="1" applyFont="1" applyFill="1" applyBorder="1" applyAlignment="1">
      <alignment horizontal="center" vertical="center"/>
    </xf>
    <xf numFmtId="0" fontId="21" fillId="2" borderId="10" xfId="51" applyFont="1" applyFill="1" applyBorder="1" applyAlignment="1">
      <alignment vertical="center" wrapText="1"/>
    </xf>
    <xf numFmtId="0" fontId="21" fillId="2" borderId="10" xfId="51" applyFont="1" applyFill="1" applyBorder="1" applyAlignment="1">
      <alignment horizontal="left" vertical="center" wrapText="1" readingOrder="1"/>
    </xf>
    <xf numFmtId="3" fontId="23" fillId="2" borderId="15" xfId="50" applyNumberFormat="1" applyFont="1" applyFill="1" applyBorder="1" applyAlignment="1">
      <alignment horizontal="center" vertical="center"/>
    </xf>
    <xf numFmtId="178" fontId="21" fillId="2" borderId="15" xfId="49" applyNumberFormat="1" applyFont="1" applyFill="1" applyBorder="1" applyAlignment="1">
      <alignment horizontal="center" vertical="center"/>
    </xf>
    <xf numFmtId="0" fontId="24" fillId="2" borderId="10" xfId="51" applyFont="1" applyFill="1" applyBorder="1" applyAlignment="1">
      <alignment horizontal="left" vertical="center" wrapText="1" readingOrder="1"/>
    </xf>
    <xf numFmtId="3" fontId="2" fillId="2" borderId="15" xfId="50" applyNumberFormat="1" applyFont="1" applyFill="1" applyBorder="1" applyAlignment="1">
      <alignment horizontal="center" vertical="center"/>
    </xf>
    <xf numFmtId="178" fontId="2" fillId="2" borderId="15" xfId="49" applyNumberFormat="1" applyFont="1" applyFill="1" applyBorder="1" applyAlignment="1">
      <alignment horizontal="center" vertical="center"/>
    </xf>
    <xf numFmtId="3" fontId="21" fillId="2" borderId="11" xfId="50" applyNumberFormat="1" applyFont="1" applyFill="1" applyBorder="1" applyAlignment="1">
      <alignment horizontal="center" vertical="center"/>
    </xf>
    <xf numFmtId="0" fontId="2" fillId="2" borderId="10" xfId="51" applyFont="1" applyFill="1" applyBorder="1" applyAlignment="1">
      <alignment horizontal="left" vertical="center" wrapText="1" readingOrder="1"/>
    </xf>
    <xf numFmtId="3" fontId="22" fillId="2" borderId="15" xfId="50" applyNumberFormat="1" applyFont="1" applyFill="1" applyBorder="1" applyAlignment="1">
      <alignment horizontal="center" vertical="center"/>
    </xf>
    <xf numFmtId="178" fontId="22" fillId="2" borderId="15" xfId="49" applyNumberFormat="1" applyFont="1" applyFill="1" applyBorder="1" applyAlignment="1">
      <alignment horizontal="center" vertical="center"/>
    </xf>
    <xf numFmtId="3" fontId="2" fillId="2" borderId="11" xfId="50" applyNumberFormat="1" applyFont="1" applyFill="1" applyBorder="1" applyAlignment="1">
      <alignment horizontal="center" vertical="center"/>
    </xf>
    <xf numFmtId="0" fontId="1" fillId="2" borderId="10" xfId="50" applyFill="1" applyBorder="1" applyAlignment="1">
      <alignment horizontal="left" readingOrder="1"/>
    </xf>
    <xf numFmtId="3" fontId="2" fillId="2" borderId="15" xfId="50" applyNumberFormat="1" applyFont="1" applyFill="1" applyBorder="1" applyAlignment="1">
      <alignment horizontal="center"/>
    </xf>
    <xf numFmtId="178" fontId="2" fillId="2" borderId="15" xfId="49" applyNumberFormat="1" applyFont="1" applyFill="1" applyBorder="1" applyAlignment="1">
      <alignment horizontal="center"/>
    </xf>
    <xf numFmtId="3" fontId="2" fillId="2" borderId="11" xfId="50" applyNumberFormat="1" applyFont="1" applyFill="1" applyBorder="1" applyAlignment="1">
      <alignment horizontal="center"/>
    </xf>
    <xf numFmtId="0" fontId="21" fillId="2" borderId="10" xfId="51" applyFont="1" applyFill="1" applyBorder="1" applyAlignment="1">
      <alignment horizontal="left" wrapText="1" readingOrder="1"/>
    </xf>
    <xf numFmtId="3" fontId="16" fillId="7" borderId="19" xfId="50" applyNumberFormat="1" applyFont="1" applyFill="1" applyBorder="1" applyAlignment="1">
      <alignment horizontal="center"/>
    </xf>
    <xf numFmtId="3" fontId="16" fillId="7" borderId="20" xfId="50" applyNumberFormat="1" applyFont="1" applyFill="1" applyBorder="1" applyAlignment="1">
      <alignment horizontal="center"/>
    </xf>
    <xf numFmtId="3" fontId="16" fillId="7" borderId="21" xfId="50" applyNumberFormat="1" applyFont="1" applyFill="1" applyBorder="1" applyAlignment="1">
      <alignment horizontal="center"/>
    </xf>
    <xf numFmtId="3" fontId="16" fillId="7" borderId="22" xfId="50" applyNumberFormat="1" applyFont="1" applyFill="1" applyBorder="1" applyAlignment="1">
      <alignment horizontal="center" vertical="center"/>
    </xf>
    <xf numFmtId="0" fontId="1" fillId="2" borderId="10" xfId="50" applyFill="1" applyBorder="1"/>
    <xf numFmtId="0" fontId="18" fillId="2" borderId="23" xfId="50" applyFont="1" applyFill="1" applyBorder="1" applyAlignment="1">
      <alignment horizontal="left" readingOrder="1"/>
    </xf>
    <xf numFmtId="0" fontId="16" fillId="7" borderId="24" xfId="50" applyFont="1" applyFill="1" applyBorder="1" applyAlignment="1">
      <alignment horizontal="center"/>
    </xf>
    <xf numFmtId="0" fontId="16" fillId="7" borderId="25" xfId="50" applyFont="1" applyFill="1" applyBorder="1" applyAlignment="1">
      <alignment horizontal="center"/>
    </xf>
    <xf numFmtId="0" fontId="16" fillId="7" borderId="26" xfId="50" applyFont="1" applyFill="1" applyBorder="1" applyAlignment="1">
      <alignment horizontal="center"/>
    </xf>
    <xf numFmtId="3" fontId="16" fillId="7" borderId="27" xfId="50" applyNumberFormat="1" applyFont="1" applyFill="1" applyBorder="1" applyAlignment="1">
      <alignment horizontal="center"/>
    </xf>
    <xf numFmtId="0" fontId="19" fillId="2" borderId="28" xfId="50" applyFont="1" applyFill="1" applyBorder="1" applyAlignment="1">
      <alignment horizontal="right" vertical="center"/>
    </xf>
    <xf numFmtId="0" fontId="19" fillId="2" borderId="29" xfId="50" applyFont="1" applyFill="1" applyBorder="1" applyAlignment="1">
      <alignment horizontal="right" vertical="center"/>
    </xf>
    <xf numFmtId="0" fontId="19" fillId="2" borderId="30" xfId="50" applyFont="1" applyFill="1" applyBorder="1" applyAlignment="1">
      <alignment horizontal="right" vertical="center"/>
    </xf>
    <xf numFmtId="3" fontId="25" fillId="2" borderId="31" xfId="50" applyNumberFormat="1" applyFont="1" applyFill="1" applyBorder="1" applyAlignment="1">
      <alignment horizontal="center" vertical="center"/>
    </xf>
    <xf numFmtId="0" fontId="26" fillId="2" borderId="0" xfId="50" applyFont="1" applyFill="1" applyAlignment="1">
      <alignment horizontal="left" readingOrder="1"/>
    </xf>
    <xf numFmtId="0" fontId="2" fillId="2" borderId="0" xfId="50" applyFont="1" applyFill="1" applyAlignment="1">
      <alignment horizontal="left" readingOrder="1"/>
    </xf>
    <xf numFmtId="0" fontId="2" fillId="2" borderId="0" xfId="50" applyFont="1" applyFill="1" applyAlignment="1">
      <alignment horizontal="center"/>
    </xf>
    <xf numFmtId="178" fontId="2" fillId="2" borderId="0" xfId="49" applyNumberFormat="1" applyFont="1" applyFill="1" applyAlignment="1">
      <alignment horizontal="center"/>
    </xf>
    <xf numFmtId="0" fontId="27" fillId="2" borderId="0" xfId="50" applyFont="1" applyFill="1" applyAlignment="1">
      <alignment horizontal="center"/>
    </xf>
    <xf numFmtId="0" fontId="22" fillId="2" borderId="0" xfId="50" applyFont="1" applyFill="1" applyAlignment="1">
      <alignment horizontal="left" readingOrder="1"/>
    </xf>
    <xf numFmtId="0" fontId="28" fillId="2" borderId="0" xfId="50" applyFont="1" applyFill="1" applyAlignment="1">
      <alignment horizontal="left" readingOrder="1"/>
    </xf>
    <xf numFmtId="0" fontId="29" fillId="2" borderId="0" xfId="50" applyFont="1" applyFill="1" applyAlignment="1">
      <alignment horizontal="left" vertical="top" readingOrder="1"/>
    </xf>
    <xf numFmtId="0" fontId="26" fillId="2" borderId="25" xfId="50" applyFont="1" applyFill="1" applyBorder="1" applyAlignment="1">
      <alignment horizontal="left" readingOrder="1"/>
    </xf>
    <xf numFmtId="0" fontId="1" fillId="2" borderId="25" xfId="50" applyFill="1" applyBorder="1" applyAlignment="1">
      <alignment horizontal="center"/>
    </xf>
    <xf numFmtId="0" fontId="30" fillId="2" borderId="4" xfId="50" applyFont="1" applyFill="1" applyBorder="1" applyAlignment="1">
      <alignment horizontal="center" readingOrder="1"/>
    </xf>
    <xf numFmtId="0" fontId="30" fillId="2" borderId="0" xfId="50" applyFont="1" applyFill="1" applyAlignment="1">
      <alignment horizontal="center" vertical="center" wrapText="1" readingOrder="1"/>
    </xf>
    <xf numFmtId="0" fontId="16" fillId="4" borderId="10" xfId="50" applyFont="1" applyFill="1" applyBorder="1" applyAlignment="1">
      <alignment horizontal="left" vertical="center" wrapText="1" readingOrder="1"/>
    </xf>
    <xf numFmtId="0" fontId="16" fillId="4" borderId="15" xfId="50" applyFont="1" applyFill="1" applyBorder="1" applyAlignment="1">
      <alignment horizontal="center" vertical="center" wrapText="1"/>
    </xf>
    <xf numFmtId="178" fontId="16" fillId="4" borderId="15" xfId="49" applyNumberFormat="1" applyFont="1" applyFill="1" applyBorder="1" applyAlignment="1">
      <alignment horizontal="center" vertical="center" wrapText="1"/>
    </xf>
    <xf numFmtId="0" fontId="16" fillId="4" borderId="11" xfId="50" applyFont="1" applyFill="1" applyBorder="1" applyAlignment="1">
      <alignment horizontal="center" vertical="center" wrapText="1"/>
    </xf>
    <xf numFmtId="0" fontId="31" fillId="2" borderId="10" xfId="51" applyFont="1" applyFill="1" applyBorder="1" applyAlignment="1">
      <alignment horizontal="left" vertical="center" wrapText="1" readingOrder="1"/>
    </xf>
    <xf numFmtId="0" fontId="17" fillId="0" borderId="10" xfId="0" applyFont="1" applyBorder="1" applyAlignment="1">
      <alignment horizontal="left" vertical="center" wrapText="1"/>
    </xf>
    <xf numFmtId="3" fontId="18" fillId="2" borderId="15" xfId="0" applyNumberFormat="1" applyFont="1" applyFill="1" applyBorder="1" applyAlignment="1">
      <alignment horizontal="center" vertical="center"/>
    </xf>
    <xf numFmtId="3" fontId="18" fillId="2" borderId="11" xfId="0" applyNumberFormat="1" applyFont="1" applyFill="1" applyBorder="1" applyAlignment="1">
      <alignment horizontal="center" vertical="center"/>
    </xf>
    <xf numFmtId="0" fontId="23" fillId="0" borderId="3" xfId="0" applyFont="1" applyBorder="1" applyAlignment="1">
      <alignment horizontal="left" vertical="center" wrapText="1"/>
    </xf>
    <xf numFmtId="3" fontId="18" fillId="2" borderId="18" xfId="0" applyNumberFormat="1" applyFont="1" applyFill="1" applyBorder="1" applyAlignment="1">
      <alignment horizontal="center" vertical="center"/>
    </xf>
    <xf numFmtId="0" fontId="32" fillId="0" borderId="10" xfId="51" applyFont="1" applyBorder="1" applyAlignment="1">
      <alignment vertical="center" wrapText="1"/>
    </xf>
    <xf numFmtId="0" fontId="23" fillId="0" borderId="10" xfId="51" applyFont="1" applyBorder="1" applyAlignment="1">
      <alignment vertical="center" wrapText="1"/>
    </xf>
    <xf numFmtId="3" fontId="22" fillId="6" borderId="15" xfId="0" applyNumberFormat="1" applyFont="1" applyFill="1" applyBorder="1" applyAlignment="1">
      <alignment horizontal="center" vertical="center"/>
    </xf>
    <xf numFmtId="0" fontId="17" fillId="0" borderId="10" xfId="51" applyFont="1" applyBorder="1" applyAlignment="1">
      <alignment vertical="center" wrapText="1"/>
    </xf>
    <xf numFmtId="0" fontId="33" fillId="0" borderId="10" xfId="51" applyFont="1" applyBorder="1" applyAlignment="1">
      <alignment vertical="center" wrapText="1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2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4033520</xdr:colOff>
      <xdr:row>60</xdr:row>
      <xdr:rowOff>30480</xdr:rowOff>
    </xdr:from>
    <xdr:to>
      <xdr:col>5</xdr:col>
      <xdr:colOff>723422</xdr:colOff>
      <xdr:row>66</xdr:row>
      <xdr:rowOff>188189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alphaModFix amt="71000"/>
        </a:blip>
        <a:stretch>
          <a:fillRect/>
        </a:stretch>
      </xdr:blipFill>
      <xdr:spPr>
        <a:xfrm>
          <a:off x="4404995" y="39533830"/>
          <a:ext cx="3702050" cy="1502410"/>
        </a:xfrm>
        <a:prstGeom prst="rect">
          <a:avLst/>
        </a:prstGeom>
        <a:solidFill>
          <a:schemeClr val="bg1">
            <a:alpha val="16000"/>
          </a:schemeClr>
        </a:solidFill>
      </xdr:spPr>
    </xdr:pic>
    <xdr:clientData/>
  </xdr:twoCellAnchor>
  <xdr:twoCellAnchor editAs="oneCell">
    <xdr:from>
      <xdr:col>0</xdr:col>
      <xdr:colOff>76201</xdr:colOff>
      <xdr:row>0</xdr:row>
      <xdr:rowOff>95250</xdr:rowOff>
    </xdr:from>
    <xdr:to>
      <xdr:col>1</xdr:col>
      <xdr:colOff>1543050</xdr:colOff>
      <xdr:row>4</xdr:row>
      <xdr:rowOff>122967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0" y="95250"/>
          <a:ext cx="1838325" cy="1134110"/>
        </a:xfrm>
        <a:prstGeom prst="rect">
          <a:avLst/>
        </a:prstGeom>
      </xdr:spPr>
    </xdr:pic>
    <xdr:clientData/>
  </xdr:twoCellAnchor>
  <xdr:twoCellAnchor editAs="oneCell">
    <xdr:from>
      <xdr:col>1</xdr:col>
      <xdr:colOff>5544185</xdr:colOff>
      <xdr:row>0</xdr:row>
      <xdr:rowOff>151765</xdr:rowOff>
    </xdr:from>
    <xdr:to>
      <xdr:col>5</xdr:col>
      <xdr:colOff>157239</xdr:colOff>
      <xdr:row>2</xdr:row>
      <xdr:rowOff>246876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915660" y="151765"/>
          <a:ext cx="1624965" cy="7385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5039919</xdr:colOff>
      <xdr:row>34</xdr:row>
      <xdr:rowOff>134455</xdr:rowOff>
    </xdr:from>
    <xdr:to>
      <xdr:col>5</xdr:col>
      <xdr:colOff>606506</xdr:colOff>
      <xdr:row>40</xdr:row>
      <xdr:rowOff>120714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alphaModFix amt="71000"/>
        </a:blip>
        <a:stretch>
          <a:fillRect/>
        </a:stretch>
      </xdr:blipFill>
      <xdr:spPr>
        <a:xfrm>
          <a:off x="5410835" y="16602710"/>
          <a:ext cx="3745865" cy="1506855"/>
        </a:xfrm>
        <a:prstGeom prst="rect">
          <a:avLst/>
        </a:prstGeom>
        <a:solidFill>
          <a:schemeClr val="bg1">
            <a:alpha val="16000"/>
          </a:schemeClr>
        </a:solidFill>
      </xdr:spPr>
    </xdr:pic>
    <xdr:clientData/>
  </xdr:twoCellAnchor>
  <xdr:twoCellAnchor editAs="oneCell">
    <xdr:from>
      <xdr:col>0</xdr:col>
      <xdr:colOff>76201</xdr:colOff>
      <xdr:row>0</xdr:row>
      <xdr:rowOff>95250</xdr:rowOff>
    </xdr:from>
    <xdr:to>
      <xdr:col>1</xdr:col>
      <xdr:colOff>1543050</xdr:colOff>
      <xdr:row>4</xdr:row>
      <xdr:rowOff>122967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0" y="95250"/>
          <a:ext cx="1838325" cy="113411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1</xdr:row>
      <xdr:rowOff>152399</xdr:rowOff>
    </xdr:from>
    <xdr:to>
      <xdr:col>5</xdr:col>
      <xdr:colOff>780174</xdr:colOff>
      <xdr:row>3</xdr:row>
      <xdr:rowOff>180835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727315" y="349885"/>
          <a:ext cx="1602740" cy="739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84"/>
  <sheetViews>
    <sheetView tabSelected="1" view="pageBreakPreview" zoomScale="109" zoomScaleNormal="109" workbookViewId="0">
      <selection activeCell="G71" sqref="A1:G71"/>
    </sheetView>
  </sheetViews>
  <sheetFormatPr defaultColWidth="9.15740740740741" defaultRowHeight="15.6"/>
  <cols>
    <col min="1" max="1" width="7.2037037037037" style="5" customWidth="1"/>
    <col min="2" max="2" width="82.2592592592593" style="5" customWidth="1"/>
    <col min="3" max="3" width="6.57407407407407" style="6" customWidth="1"/>
    <col min="4" max="4" width="5.84259259259259" style="6" customWidth="1"/>
    <col min="5" max="5" width="7.57407407407407" style="7" customWidth="1"/>
    <col min="6" max="6" width="11.1574074074074" style="6" customWidth="1"/>
    <col min="7" max="7" width="3.41666666666667" style="8" customWidth="1"/>
    <col min="8" max="8" width="9.15740740740741" style="8"/>
    <col min="9" max="9" width="12.4166666666667" style="8" customWidth="1"/>
    <col min="10" max="16384" width="9.15740740740741" style="8"/>
  </cols>
  <sheetData>
    <row r="2" ht="35.1" customHeight="1" spans="1:13">
      <c r="A2" s="9"/>
      <c r="B2" s="9"/>
      <c r="C2" s="10"/>
      <c r="D2" s="11"/>
      <c r="E2" s="12"/>
      <c r="F2" s="13"/>
    </row>
    <row r="3" ht="20.85" customHeight="1" spans="1:13">
      <c r="A3" s="14"/>
      <c r="B3" s="14"/>
      <c r="C3" s="15"/>
      <c r="D3" s="16"/>
      <c r="E3" s="17"/>
      <c r="F3" s="18"/>
    </row>
    <row r="4" spans="1:13">
      <c r="D4" s="19"/>
      <c r="E4" s="20"/>
      <c r="F4" s="19"/>
    </row>
    <row r="5" ht="16.35" spans="1:13">
      <c r="A5" s="21"/>
      <c r="B5" s="21"/>
      <c r="E5" s="22"/>
    </row>
    <row r="6" ht="29.85" customHeight="1" spans="1:13">
      <c r="A6" s="23"/>
      <c r="B6" s="23" t="s">
        <v>0</v>
      </c>
      <c r="C6" s="24" t="s">
        <v>1</v>
      </c>
      <c r="D6" s="25"/>
      <c r="E6" s="25"/>
      <c r="F6" s="26"/>
    </row>
    <row r="7" ht="27.6" customHeight="1" spans="1:13">
      <c r="A7" s="27"/>
      <c r="B7" s="27" t="s">
        <v>2</v>
      </c>
      <c r="C7" s="28" t="s">
        <v>3</v>
      </c>
      <c r="D7" s="29"/>
      <c r="E7" s="29"/>
      <c r="F7" s="30"/>
      <c r="M7" s="8">
        <v>0.8</v>
      </c>
    </row>
    <row r="8" ht="21.75" customHeight="1" spans="1:13">
      <c r="A8" s="27"/>
      <c r="B8" s="27" t="s">
        <v>4</v>
      </c>
      <c r="C8" s="31"/>
      <c r="D8" s="32"/>
      <c r="E8" s="32"/>
      <c r="F8" s="33"/>
      <c r="I8" s="32"/>
    </row>
    <row r="9" ht="29.1" customHeight="1" spans="1:13">
      <c r="A9" s="34"/>
      <c r="B9" s="34" t="s">
        <v>5</v>
      </c>
      <c r="C9" s="35" t="s">
        <v>6</v>
      </c>
      <c r="D9" s="35" t="s">
        <v>7</v>
      </c>
      <c r="E9" s="36" t="s">
        <v>8</v>
      </c>
      <c r="F9" s="37" t="s">
        <v>9</v>
      </c>
      <c r="H9" s="8" t="s">
        <v>10</v>
      </c>
    </row>
    <row r="10" customFormat="1" ht="30" hidden="1" customHeight="1" spans="1:13">
      <c r="A10" s="98"/>
      <c r="B10" s="98"/>
      <c r="C10" s="99"/>
      <c r="D10" s="99"/>
      <c r="E10" s="100"/>
      <c r="F10" s="101"/>
      <c r="H10" s="8"/>
      <c r="I10" s="8"/>
      <c r="K10" s="8"/>
    </row>
    <row r="11" s="1" customFormat="1" ht="41.1" customHeight="1" spans="1:13">
      <c r="A11" s="38"/>
      <c r="B11" s="102" t="s">
        <v>11</v>
      </c>
      <c r="C11" s="40"/>
      <c r="D11" s="40"/>
      <c r="E11" s="41"/>
      <c r="F11" s="42"/>
      <c r="H11" s="1">
        <v>760</v>
      </c>
      <c r="I11" s="43">
        <v>519000</v>
      </c>
      <c r="K11" s="44">
        <f>I11/H11</f>
        <v>682.894736842105</v>
      </c>
    </row>
    <row r="12" s="1" customFormat="1" ht="22" customHeight="1" spans="1:13">
      <c r="A12" s="45"/>
      <c r="B12" s="103" t="s">
        <v>12</v>
      </c>
      <c r="C12" s="104"/>
      <c r="D12" s="104"/>
      <c r="E12" s="104"/>
      <c r="F12" s="105"/>
    </row>
    <row r="13" s="1" customFormat="1" ht="89.05" customHeight="1" spans="1:13">
      <c r="A13" s="45">
        <v>1</v>
      </c>
      <c r="B13" s="106" t="s">
        <v>13</v>
      </c>
      <c r="C13" s="47" t="s">
        <v>10</v>
      </c>
      <c r="D13" s="47">
        <v>14</v>
      </c>
      <c r="E13" s="47">
        <v>1100</v>
      </c>
      <c r="F13" s="107">
        <f>E13*D13</f>
        <v>15400</v>
      </c>
      <c r="M13" s="1">
        <v>2419.2</v>
      </c>
    </row>
    <row r="14" s="1" customFormat="1" ht="62.05" customHeight="1" spans="1:13">
      <c r="A14" s="45"/>
      <c r="B14" s="112" t="s">
        <v>14</v>
      </c>
      <c r="C14" s="51" t="s">
        <v>10</v>
      </c>
      <c r="D14" s="51">
        <v>21</v>
      </c>
      <c r="E14" s="51">
        <v>475</v>
      </c>
      <c r="F14" s="52">
        <v>9975</v>
      </c>
    </row>
    <row r="15" s="1" customFormat="1" ht="62.05" customHeight="1" spans="1:13">
      <c r="A15" s="45">
        <v>2</v>
      </c>
      <c r="B15" s="112" t="s">
        <v>15</v>
      </c>
      <c r="C15" s="51" t="s">
        <v>16</v>
      </c>
      <c r="D15" s="51">
        <v>2</v>
      </c>
      <c r="E15" s="51">
        <v>4893</v>
      </c>
      <c r="F15" s="52">
        <f>E15*D15</f>
        <v>9786</v>
      </c>
    </row>
    <row r="16" s="1" customFormat="1" ht="53.05" customHeight="1" spans="1:13">
      <c r="A16" s="45">
        <v>3</v>
      </c>
      <c r="B16" s="109" t="s">
        <v>17</v>
      </c>
      <c r="C16" s="51" t="s">
        <v>18</v>
      </c>
      <c r="D16" s="51">
        <v>1</v>
      </c>
      <c r="E16" s="51">
        <v>2200</v>
      </c>
      <c r="F16" s="52">
        <v>2000</v>
      </c>
    </row>
    <row r="17" s="1" customFormat="1" ht="77.1" hidden="1" customHeight="1" spans="1:6">
      <c r="A17" s="45"/>
      <c r="B17" s="109"/>
      <c r="C17" s="51"/>
      <c r="D17" s="51"/>
      <c r="E17" s="51"/>
      <c r="F17" s="52">
        <f>E17*D17</f>
        <v>0</v>
      </c>
    </row>
    <row r="18" s="1" customFormat="1" ht="66" customHeight="1" spans="1:6">
      <c r="A18" s="45">
        <v>4</v>
      </c>
      <c r="B18" s="109" t="s">
        <v>19</v>
      </c>
      <c r="C18" s="51" t="s">
        <v>6</v>
      </c>
      <c r="D18" s="51">
        <v>1</v>
      </c>
      <c r="E18" s="51">
        <v>2500</v>
      </c>
      <c r="F18" s="52">
        <f>E18*D18</f>
        <v>2500</v>
      </c>
    </row>
    <row r="19" s="1" customFormat="1" ht="34" customHeight="1" spans="1:6">
      <c r="A19" s="45">
        <v>5</v>
      </c>
      <c r="B19" s="109" t="s">
        <v>20</v>
      </c>
      <c r="C19" s="51" t="s">
        <v>18</v>
      </c>
      <c r="D19" s="51">
        <v>1</v>
      </c>
      <c r="E19" s="110">
        <v>2000</v>
      </c>
      <c r="F19" s="52">
        <v>2000</v>
      </c>
    </row>
    <row r="20" s="1" customFormat="1" ht="34" customHeight="1" spans="1:6">
      <c r="A20" s="45">
        <v>6</v>
      </c>
      <c r="B20" s="109" t="s">
        <v>21</v>
      </c>
      <c r="C20" s="51" t="s">
        <v>18</v>
      </c>
      <c r="D20" s="51">
        <v>1</v>
      </c>
      <c r="E20" s="110">
        <v>800</v>
      </c>
      <c r="F20" s="52">
        <v>800</v>
      </c>
    </row>
    <row r="21" s="1" customFormat="1" ht="34" customHeight="1" spans="1:6">
      <c r="A21" s="45">
        <v>7</v>
      </c>
      <c r="B21" s="109" t="s">
        <v>22</v>
      </c>
      <c r="C21" s="51" t="s">
        <v>23</v>
      </c>
      <c r="D21" s="51">
        <v>70</v>
      </c>
      <c r="E21" s="110">
        <v>35</v>
      </c>
      <c r="F21" s="52">
        <v>2450</v>
      </c>
    </row>
    <row r="22" s="1" customFormat="1" ht="34" customHeight="1" spans="1:6">
      <c r="A22" s="45"/>
      <c r="B22" s="111" t="s">
        <v>24</v>
      </c>
      <c r="C22" s="51"/>
      <c r="D22" s="51"/>
      <c r="E22" s="110"/>
      <c r="F22" s="52"/>
    </row>
    <row r="23" s="1" customFormat="1" ht="70" customHeight="1" spans="1:6">
      <c r="A23" s="45">
        <v>8</v>
      </c>
      <c r="B23" s="109" t="s">
        <v>25</v>
      </c>
      <c r="C23" s="53" t="s">
        <v>26</v>
      </c>
      <c r="D23" s="53">
        <v>1</v>
      </c>
      <c r="E23" s="53">
        <v>6850</v>
      </c>
      <c r="F23" s="52">
        <f>E23*D23</f>
        <v>6850</v>
      </c>
    </row>
    <row r="24" s="1" customFormat="1" ht="56.1" customHeight="1" spans="1:6">
      <c r="A24" s="45">
        <v>9</v>
      </c>
      <c r="B24" s="109" t="s">
        <v>27</v>
      </c>
      <c r="C24" s="53" t="s">
        <v>6</v>
      </c>
      <c r="D24" s="53">
        <v>2</v>
      </c>
      <c r="E24" s="53">
        <v>3800</v>
      </c>
      <c r="F24" s="52">
        <f>E24*D24</f>
        <v>7600</v>
      </c>
    </row>
    <row r="25" s="1" customFormat="1" ht="22" customHeight="1" spans="1:6">
      <c r="A25" s="45"/>
      <c r="B25" s="111" t="s">
        <v>28</v>
      </c>
      <c r="C25" s="54"/>
      <c r="D25" s="54"/>
      <c r="E25" s="54"/>
      <c r="F25" s="52"/>
    </row>
    <row r="26" s="1" customFormat="1" ht="56.05" customHeight="1" spans="1:6">
      <c r="A26" s="45">
        <v>10</v>
      </c>
      <c r="B26" s="109" t="s">
        <v>29</v>
      </c>
      <c r="C26" s="54" t="s">
        <v>18</v>
      </c>
      <c r="D26" s="54">
        <v>1</v>
      </c>
      <c r="E26" s="54">
        <v>2500</v>
      </c>
      <c r="F26" s="52">
        <v>2500</v>
      </c>
    </row>
    <row r="27" s="1" customFormat="1" ht="34" customHeight="1" spans="1:6">
      <c r="A27" s="45">
        <v>11</v>
      </c>
      <c r="B27" s="109" t="s">
        <v>30</v>
      </c>
      <c r="C27" s="54" t="s">
        <v>18</v>
      </c>
      <c r="D27" s="54">
        <v>1</v>
      </c>
      <c r="E27" s="54">
        <v>3250</v>
      </c>
      <c r="F27" s="52">
        <v>3250</v>
      </c>
    </row>
    <row r="28" s="1" customFormat="1" ht="56.05" customHeight="1" spans="1:6">
      <c r="A28" s="45">
        <v>12</v>
      </c>
      <c r="B28" s="109" t="s">
        <v>31</v>
      </c>
      <c r="C28" s="54" t="s">
        <v>6</v>
      </c>
      <c r="D28" s="54">
        <v>1</v>
      </c>
      <c r="E28" s="54">
        <v>4760</v>
      </c>
      <c r="F28" s="52">
        <f>E28*D28</f>
        <v>4760</v>
      </c>
    </row>
    <row r="29" s="1" customFormat="1" ht="55" customHeight="1" spans="1:6">
      <c r="A29" s="45">
        <v>13</v>
      </c>
      <c r="B29" s="109" t="s">
        <v>32</v>
      </c>
      <c r="C29" s="54" t="s">
        <v>6</v>
      </c>
      <c r="D29" s="54">
        <v>1</v>
      </c>
      <c r="E29" s="54">
        <v>2500</v>
      </c>
      <c r="F29" s="52">
        <f>E29*D29</f>
        <v>2500</v>
      </c>
    </row>
    <row r="30" s="1" customFormat="1" ht="64" customHeight="1" spans="1:6">
      <c r="A30" s="45">
        <v>14</v>
      </c>
      <c r="B30" s="109" t="s">
        <v>33</v>
      </c>
      <c r="C30" s="54" t="s">
        <v>6</v>
      </c>
      <c r="D30" s="54">
        <v>1</v>
      </c>
      <c r="E30" s="54">
        <v>5650</v>
      </c>
      <c r="F30" s="52">
        <v>5650</v>
      </c>
    </row>
    <row r="31" s="1" customFormat="1" ht="53.05" customHeight="1" spans="1:6">
      <c r="A31" s="45">
        <v>15</v>
      </c>
      <c r="B31" s="109" t="s">
        <v>34</v>
      </c>
      <c r="C31" s="54" t="s">
        <v>6</v>
      </c>
      <c r="D31" s="54">
        <v>1</v>
      </c>
      <c r="E31" s="54">
        <v>2750</v>
      </c>
      <c r="F31" s="52">
        <v>2750</v>
      </c>
    </row>
    <row r="32" s="1" customFormat="1" ht="35.05" customHeight="1" spans="1:6">
      <c r="A32" s="45">
        <v>16</v>
      </c>
      <c r="B32" s="109" t="s">
        <v>35</v>
      </c>
      <c r="C32" s="54" t="s">
        <v>18</v>
      </c>
      <c r="D32" s="54">
        <v>1</v>
      </c>
      <c r="E32" s="54">
        <v>850</v>
      </c>
      <c r="F32" s="52">
        <v>850</v>
      </c>
    </row>
    <row r="33" s="1" customFormat="1" ht="41.05" customHeight="1" spans="1:6">
      <c r="A33" s="45"/>
      <c r="B33" s="111" t="s">
        <v>36</v>
      </c>
      <c r="C33" s="54"/>
      <c r="D33" s="54"/>
      <c r="E33" s="54"/>
      <c r="F33" s="52"/>
    </row>
    <row r="34" s="1" customFormat="1" ht="64" customHeight="1" spans="1:6">
      <c r="A34" s="45">
        <v>17</v>
      </c>
      <c r="B34" s="109" t="s">
        <v>37</v>
      </c>
      <c r="C34" s="54" t="s">
        <v>6</v>
      </c>
      <c r="D34" s="54">
        <v>1</v>
      </c>
      <c r="E34" s="54">
        <v>7850</v>
      </c>
      <c r="F34" s="52">
        <f>E34*D34</f>
        <v>7850</v>
      </c>
    </row>
    <row r="35" s="1" customFormat="1" ht="58" customHeight="1" spans="1:6">
      <c r="A35" s="45">
        <v>18</v>
      </c>
      <c r="B35" s="109" t="s">
        <v>38</v>
      </c>
      <c r="C35" s="54" t="s">
        <v>6</v>
      </c>
      <c r="D35" s="54">
        <v>2</v>
      </c>
      <c r="E35" s="54">
        <v>5250</v>
      </c>
      <c r="F35" s="52">
        <f>E35*D35</f>
        <v>10500</v>
      </c>
    </row>
    <row r="36" s="1" customFormat="1" ht="36" customHeight="1" spans="1:6">
      <c r="A36" s="45">
        <v>19</v>
      </c>
      <c r="B36" s="109" t="s">
        <v>35</v>
      </c>
      <c r="C36" s="54" t="s">
        <v>18</v>
      </c>
      <c r="D36" s="54">
        <v>1</v>
      </c>
      <c r="E36" s="54">
        <v>1000</v>
      </c>
      <c r="F36" s="52">
        <v>1000</v>
      </c>
    </row>
    <row r="37" s="1" customFormat="1" ht="41.05" customHeight="1" spans="1:6">
      <c r="A37" s="45"/>
      <c r="B37" s="111" t="s">
        <v>39</v>
      </c>
      <c r="C37" s="54"/>
      <c r="D37" s="54"/>
      <c r="E37" s="54"/>
      <c r="F37" s="52"/>
    </row>
    <row r="38" s="1" customFormat="1" ht="62.05" customHeight="1" spans="1:6">
      <c r="A38" s="45">
        <v>20</v>
      </c>
      <c r="B38" s="109" t="s">
        <v>40</v>
      </c>
      <c r="C38" s="54" t="s">
        <v>6</v>
      </c>
      <c r="D38" s="54">
        <v>1</v>
      </c>
      <c r="E38" s="54">
        <v>8450</v>
      </c>
      <c r="F38" s="52">
        <f>E38*D38</f>
        <v>8450</v>
      </c>
    </row>
    <row r="39" s="1" customFormat="1" ht="28" customHeight="1" spans="1:6">
      <c r="A39" s="45">
        <v>21</v>
      </c>
      <c r="B39" s="109" t="s">
        <v>35</v>
      </c>
      <c r="C39" s="54" t="s">
        <v>18</v>
      </c>
      <c r="D39" s="54">
        <v>1</v>
      </c>
      <c r="E39" s="54">
        <v>1500</v>
      </c>
      <c r="F39" s="52">
        <v>1500</v>
      </c>
    </row>
    <row r="40" s="1" customFormat="1" ht="30" customHeight="1" spans="1:6">
      <c r="A40" s="45"/>
      <c r="B40" s="111" t="s">
        <v>41</v>
      </c>
      <c r="C40" s="54"/>
      <c r="D40" s="54"/>
      <c r="E40" s="54"/>
      <c r="F40" s="52"/>
    </row>
    <row r="41" s="1" customFormat="1" ht="51" customHeight="1" spans="1:6">
      <c r="A41" s="45">
        <v>22</v>
      </c>
      <c r="B41" s="109" t="s">
        <v>42</v>
      </c>
      <c r="C41" s="54" t="s">
        <v>18</v>
      </c>
      <c r="D41" s="54">
        <v>1</v>
      </c>
      <c r="E41" s="54">
        <v>2500</v>
      </c>
      <c r="F41" s="52">
        <v>2500</v>
      </c>
    </row>
    <row r="42" s="1" customFormat="1" ht="41.05" customHeight="1" spans="1:6">
      <c r="A42" s="45">
        <v>23</v>
      </c>
      <c r="B42" s="109" t="s">
        <v>30</v>
      </c>
      <c r="C42" s="54" t="s">
        <v>18</v>
      </c>
      <c r="D42" s="54">
        <v>1</v>
      </c>
      <c r="E42" s="54">
        <v>3250</v>
      </c>
      <c r="F42" s="52">
        <v>3250</v>
      </c>
    </row>
    <row r="43" s="1" customFormat="1" ht="60" customHeight="1" spans="1:6">
      <c r="A43" s="45">
        <v>24</v>
      </c>
      <c r="B43" s="109" t="s">
        <v>43</v>
      </c>
      <c r="C43" s="54" t="s">
        <v>6</v>
      </c>
      <c r="D43" s="54">
        <v>1</v>
      </c>
      <c r="E43" s="54">
        <v>5260</v>
      </c>
      <c r="F43" s="52">
        <v>5260</v>
      </c>
    </row>
    <row r="44" s="1" customFormat="1" ht="78" customHeight="1" spans="1:6">
      <c r="A44" s="45">
        <v>25</v>
      </c>
      <c r="B44" s="109" t="s">
        <v>34</v>
      </c>
      <c r="C44" s="54" t="s">
        <v>6</v>
      </c>
      <c r="D44" s="54">
        <v>1</v>
      </c>
      <c r="E44" s="54">
        <v>2750</v>
      </c>
      <c r="F44" s="52">
        <v>2750</v>
      </c>
    </row>
    <row r="45" s="1" customFormat="1" ht="59.05" customHeight="1" spans="1:6">
      <c r="A45" s="45">
        <v>26</v>
      </c>
      <c r="B45" s="109" t="s">
        <v>44</v>
      </c>
      <c r="C45" s="54" t="s">
        <v>6</v>
      </c>
      <c r="D45" s="54">
        <v>1</v>
      </c>
      <c r="E45" s="54">
        <v>2500</v>
      </c>
      <c r="F45" s="52">
        <f>E45*D45</f>
        <v>2500</v>
      </c>
    </row>
    <row r="46" s="1" customFormat="1" ht="1" customHeight="1" spans="1:6">
      <c r="A46" s="45"/>
      <c r="B46" s="109"/>
      <c r="C46" s="54"/>
      <c r="D46" s="54"/>
      <c r="E46" s="54"/>
      <c r="F46" s="52"/>
    </row>
    <row r="47" s="1" customFormat="1" ht="41.05" customHeight="1" spans="1:6">
      <c r="A47" s="45">
        <v>27</v>
      </c>
      <c r="B47" s="109" t="s">
        <v>35</v>
      </c>
      <c r="C47" s="54" t="s">
        <v>18</v>
      </c>
      <c r="D47" s="54">
        <v>1</v>
      </c>
      <c r="E47" s="54">
        <v>850</v>
      </c>
      <c r="F47" s="52">
        <v>850</v>
      </c>
    </row>
    <row r="48" s="1" customFormat="1" ht="35.05" customHeight="1" spans="1:6">
      <c r="A48" s="45"/>
      <c r="B48" s="111" t="s">
        <v>45</v>
      </c>
      <c r="C48" s="54"/>
      <c r="D48" s="54"/>
      <c r="E48" s="54"/>
      <c r="F48" s="52"/>
    </row>
    <row r="49" s="1" customFormat="1" ht="33" customHeight="1" spans="1:7">
      <c r="A49" s="45">
        <v>28</v>
      </c>
      <c r="B49" s="109" t="s">
        <v>35</v>
      </c>
      <c r="C49" s="54" t="s">
        <v>10</v>
      </c>
      <c r="D49" s="54">
        <v>80</v>
      </c>
      <c r="E49" s="54">
        <v>35</v>
      </c>
      <c r="F49" s="52">
        <v>2800</v>
      </c>
    </row>
    <row r="50" s="1" customFormat="1" ht="36" customHeight="1" spans="1:7">
      <c r="A50" s="45"/>
      <c r="B50" s="111" t="s">
        <v>46</v>
      </c>
      <c r="C50" s="54"/>
      <c r="D50" s="54"/>
      <c r="E50" s="54"/>
      <c r="F50" s="52"/>
    </row>
    <row r="51" s="1" customFormat="1" ht="72" customHeight="1" spans="1:7">
      <c r="A51" s="45">
        <v>29</v>
      </c>
      <c r="B51" s="109" t="s">
        <v>47</v>
      </c>
      <c r="C51" s="54" t="s">
        <v>6</v>
      </c>
      <c r="D51" s="54">
        <v>1</v>
      </c>
      <c r="E51" s="54">
        <v>4666</v>
      </c>
      <c r="F51" s="52">
        <v>4666</v>
      </c>
    </row>
    <row r="52" s="1" customFormat="1" ht="69" customHeight="1" spans="1:7">
      <c r="A52" s="45">
        <v>30</v>
      </c>
      <c r="B52" s="109" t="s">
        <v>48</v>
      </c>
      <c r="C52" s="54" t="s">
        <v>6</v>
      </c>
      <c r="D52" s="54">
        <v>1</v>
      </c>
      <c r="E52" s="54">
        <v>3800</v>
      </c>
      <c r="F52" s="52">
        <f>E52*D52</f>
        <v>3800</v>
      </c>
    </row>
    <row r="53" s="1" customFormat="1" ht="34" customHeight="1" spans="1:7">
      <c r="A53" s="45"/>
      <c r="B53" s="111" t="s">
        <v>49</v>
      </c>
      <c r="C53" s="54"/>
      <c r="D53" s="54"/>
      <c r="E53" s="54"/>
      <c r="F53" s="52"/>
    </row>
    <row r="54" s="1" customFormat="1" ht="111" customHeight="1" spans="1:7">
      <c r="A54" s="45">
        <v>31</v>
      </c>
      <c r="B54" s="109" t="s">
        <v>50</v>
      </c>
      <c r="C54" s="54" t="s">
        <v>6</v>
      </c>
      <c r="D54" s="54">
        <v>1</v>
      </c>
      <c r="E54" s="54">
        <v>13300</v>
      </c>
      <c r="F54" s="52">
        <f>E54*D54</f>
        <v>13300</v>
      </c>
    </row>
    <row r="55" s="1" customFormat="1" ht="118" customHeight="1" spans="1:7">
      <c r="A55" s="45">
        <v>32</v>
      </c>
      <c r="B55" s="109" t="s">
        <v>51</v>
      </c>
      <c r="C55" s="54" t="s">
        <v>6</v>
      </c>
      <c r="D55" s="54">
        <v>1</v>
      </c>
      <c r="E55" s="54">
        <v>2950</v>
      </c>
      <c r="F55" s="52">
        <v>2950</v>
      </c>
    </row>
    <row r="56" s="1" customFormat="1" ht="118" customHeight="1" spans="1:7">
      <c r="A56" s="45">
        <v>33</v>
      </c>
      <c r="B56" s="109" t="s">
        <v>52</v>
      </c>
      <c r="C56" s="54" t="s">
        <v>6</v>
      </c>
      <c r="D56" s="54">
        <v>1</v>
      </c>
      <c r="E56" s="54">
        <v>14580</v>
      </c>
      <c r="F56" s="52">
        <f>E56*D56</f>
        <v>14580</v>
      </c>
    </row>
    <row r="57" s="1" customFormat="1" ht="80.1" customHeight="1" spans="1:7">
      <c r="A57" s="45"/>
      <c r="B57" s="109" t="s">
        <v>53</v>
      </c>
      <c r="C57" s="54"/>
      <c r="D57" s="54"/>
      <c r="E57" s="54"/>
      <c r="F57" s="52"/>
    </row>
    <row r="58" s="1" customFormat="1" ht="38.1" customHeight="1" spans="1:7">
      <c r="A58" s="45"/>
      <c r="B58" s="56" t="s">
        <v>54</v>
      </c>
      <c r="C58" s="54"/>
      <c r="D58" s="54"/>
      <c r="E58" s="54"/>
      <c r="F58" s="52"/>
    </row>
    <row r="59" s="1" customFormat="1" ht="33" customHeight="1" spans="1:7">
      <c r="A59" s="45"/>
      <c r="B59" s="56" t="s">
        <v>55</v>
      </c>
      <c r="C59" s="54"/>
      <c r="D59" s="54"/>
      <c r="E59" s="54"/>
      <c r="F59" s="52"/>
    </row>
    <row r="60" s="1" customFormat="1" ht="33" customHeight="1" spans="1:7">
      <c r="A60" s="45"/>
      <c r="B60" s="56" t="s">
        <v>56</v>
      </c>
      <c r="C60" s="54"/>
      <c r="D60" s="54"/>
      <c r="E60" s="54"/>
      <c r="F60" s="52"/>
    </row>
    <row r="61" s="1" customFormat="1" ht="33" customHeight="1" spans="1:7">
      <c r="A61" s="45"/>
      <c r="B61" s="56" t="s">
        <v>57</v>
      </c>
      <c r="C61" s="54"/>
      <c r="D61" s="54"/>
      <c r="E61" s="54"/>
      <c r="F61" s="52"/>
    </row>
    <row r="62" customFormat="1" ht="27.6" spans="1:7">
      <c r="A62" s="67"/>
      <c r="B62" s="59" t="s">
        <v>58</v>
      </c>
      <c r="C62" s="68"/>
      <c r="D62" s="68"/>
      <c r="E62" s="69"/>
      <c r="F62" s="52"/>
    </row>
    <row r="63" ht="27" customHeight="1" spans="1:7">
      <c r="A63" s="67"/>
      <c r="B63" s="63" t="s">
        <v>59</v>
      </c>
      <c r="C63" s="68"/>
      <c r="D63" s="68"/>
      <c r="E63" s="69"/>
      <c r="F63" s="52"/>
    </row>
    <row r="64" ht="26.1" customHeight="1" spans="1:7">
      <c r="A64" s="71"/>
      <c r="B64" s="63" t="s">
        <v>60</v>
      </c>
      <c r="C64" s="72" t="s">
        <v>61</v>
      </c>
      <c r="D64" s="73"/>
      <c r="E64" s="74"/>
      <c r="F64" s="75">
        <f>SUM(F13:F63)</f>
        <v>170127</v>
      </c>
      <c r="G64" s="76"/>
    </row>
    <row r="65" spans="1:7">
      <c r="A65" s="77"/>
      <c r="B65" s="77"/>
      <c r="C65" s="78" t="s">
        <v>62</v>
      </c>
      <c r="D65" s="79"/>
      <c r="E65" s="80"/>
      <c r="F65" s="81">
        <f>F64*0.15</f>
        <v>25519.05</v>
      </c>
    </row>
    <row r="66" ht="30" customHeight="1" spans="1:7">
      <c r="A66" s="8"/>
      <c r="B66" s="82" t="s">
        <v>63</v>
      </c>
      <c r="C66" s="83"/>
      <c r="D66" s="83"/>
      <c r="E66" s="84"/>
      <c r="F66" s="85">
        <f>F65+F64</f>
        <v>195646.05</v>
      </c>
    </row>
    <row r="67" ht="30" customHeight="1" spans="1:7">
      <c r="A67" s="8"/>
      <c r="B67" s="82" t="s">
        <v>64</v>
      </c>
      <c r="C67" s="83"/>
      <c r="D67" s="83"/>
      <c r="E67" s="84"/>
      <c r="F67" s="85"/>
    </row>
    <row r="68" ht="30" customHeight="1" spans="1:7">
      <c r="A68" s="8"/>
      <c r="B68" s="82" t="s">
        <v>65</v>
      </c>
      <c r="C68" s="83"/>
      <c r="D68" s="83"/>
      <c r="E68" s="84"/>
      <c r="F68" s="85"/>
    </row>
    <row r="69" spans="1:7">
      <c r="A69" s="86"/>
      <c r="B69" s="86"/>
    </row>
    <row r="70" spans="1:7">
      <c r="A70" s="86"/>
      <c r="B70" s="86" t="s">
        <v>66</v>
      </c>
    </row>
    <row r="71" s="3" customFormat="1" ht="22.5" customHeight="1" spans="1:7">
      <c r="A71" s="87"/>
      <c r="B71" s="87" t="s">
        <v>67</v>
      </c>
      <c r="C71" s="88"/>
      <c r="D71" s="88"/>
      <c r="E71" s="89"/>
      <c r="F71" s="88"/>
      <c r="G71" s="90"/>
    </row>
    <row r="72" s="3" customFormat="1" ht="22.5" customHeight="1" spans="1:7">
      <c r="A72" s="91"/>
      <c r="B72" s="91"/>
      <c r="C72" s="88"/>
      <c r="D72" s="88"/>
      <c r="E72" s="89"/>
      <c r="F72" s="88"/>
      <c r="G72" s="90"/>
    </row>
    <row r="73" s="3" customFormat="1" ht="22.5" customHeight="1" spans="1:7">
      <c r="A73" s="91"/>
      <c r="B73" s="91"/>
      <c r="C73" s="88"/>
      <c r="D73" s="88"/>
      <c r="E73" s="89"/>
      <c r="F73" s="88"/>
      <c r="G73" s="90"/>
    </row>
    <row r="74" s="3" customFormat="1" ht="21" customHeight="1" spans="1:7">
      <c r="A74" s="87"/>
      <c r="B74" s="87"/>
      <c r="C74" s="88"/>
      <c r="D74" s="88"/>
      <c r="E74" s="89"/>
      <c r="F74" s="90"/>
    </row>
    <row r="75" spans="1:7">
      <c r="A75" s="92"/>
      <c r="B75" s="92"/>
      <c r="C75" s="88"/>
      <c r="D75" s="88"/>
      <c r="E75" s="89"/>
      <c r="F75" s="88"/>
    </row>
    <row r="76" spans="1:7">
      <c r="A76" s="92"/>
      <c r="B76" s="92"/>
      <c r="C76" s="88"/>
      <c r="D76" s="88"/>
      <c r="E76" s="89"/>
      <c r="F76" s="90"/>
    </row>
    <row r="77" spans="1:7">
      <c r="A77" s="93"/>
      <c r="B77" s="93"/>
      <c r="C77" s="88"/>
      <c r="D77" s="88"/>
      <c r="E77" s="89"/>
      <c r="F77" s="90"/>
    </row>
    <row r="78" spans="1:7">
      <c r="A78" s="93"/>
      <c r="B78" s="93"/>
      <c r="C78" s="88"/>
      <c r="D78" s="88"/>
      <c r="E78" s="89"/>
      <c r="F78" s="90"/>
    </row>
    <row r="79" ht="16.35" spans="1:7">
      <c r="A79" s="94"/>
      <c r="B79" s="94" t="s">
        <v>68</v>
      </c>
      <c r="C79" s="95"/>
      <c r="F79" s="6" t="s">
        <v>69</v>
      </c>
    </row>
    <row r="80" s="4" customFormat="1" ht="21" spans="1:7">
      <c r="A80" s="96"/>
      <c r="B80" s="96"/>
      <c r="C80" s="96"/>
      <c r="D80" s="96"/>
      <c r="E80" s="96"/>
      <c r="F80" s="96"/>
      <c r="G80" s="96"/>
    </row>
    <row r="81" ht="39" customHeight="1" spans="1:7">
      <c r="A81" s="97"/>
      <c r="B81" s="97"/>
      <c r="C81" s="97"/>
      <c r="D81" s="97"/>
      <c r="E81" s="97"/>
      <c r="F81" s="97"/>
      <c r="G81" s="97"/>
    </row>
    <row r="82" spans="1:7">
      <c r="G82" s="6"/>
    </row>
    <row r="83" spans="1:7">
      <c r="G83" s="6"/>
    </row>
    <row r="84" spans="1:7">
      <c r="G84" s="6"/>
    </row>
  </sheetData>
  <mergeCells count="9">
    <mergeCell ref="C6:F6"/>
    <mergeCell ref="C64:E64"/>
    <mergeCell ref="C65:E65"/>
    <mergeCell ref="B66:E66"/>
    <mergeCell ref="B67:E67"/>
    <mergeCell ref="B68:E68"/>
    <mergeCell ref="A80:G80"/>
    <mergeCell ref="A81:G81"/>
    <mergeCell ref="C7:F8"/>
  </mergeCells>
  <printOptions horizontalCentered="1"/>
  <pageMargins left="0.25" right="0" top="0.25" bottom="0" header="0.05" footer="0"/>
  <pageSetup paperSize="9" scale="8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72"/>
  <sheetViews>
    <sheetView view="pageBreakPreview" zoomScale="109" zoomScaleNormal="109" topLeftCell="A58" workbookViewId="0">
      <selection activeCell="G70" sqref="G70"/>
    </sheetView>
  </sheetViews>
  <sheetFormatPr defaultColWidth="9.15740740740741" defaultRowHeight="15.6"/>
  <cols>
    <col min="1" max="1" width="5.41666666666667" style="5" customWidth="1"/>
    <col min="2" max="2" width="82.2592592592593" style="5" customWidth="1"/>
    <col min="3" max="3" width="6.57407407407407" style="6" customWidth="1"/>
    <col min="4" max="4" width="5.84259259259259" style="6" customWidth="1"/>
    <col min="5" max="5" width="7.57407407407407" style="7" customWidth="1"/>
    <col min="6" max="6" width="11.1574074074074" style="6" customWidth="1"/>
    <col min="7" max="7" width="3.41666666666667" style="8" customWidth="1"/>
    <col min="8" max="10" width="9.15740740740741" style="8"/>
    <col min="11" max="11" width="12.4166666666667" style="8" customWidth="1"/>
    <col min="12" max="16384" width="9.15740740740741" style="8"/>
  </cols>
  <sheetData>
    <row r="2" ht="35.1" customHeight="1" spans="1:15">
      <c r="A2" s="9"/>
      <c r="B2" s="9"/>
      <c r="C2" s="10"/>
      <c r="D2" s="11"/>
      <c r="E2" s="12"/>
      <c r="F2" s="13"/>
    </row>
    <row r="3" ht="20.85" customHeight="1" spans="1:15">
      <c r="A3" s="14"/>
      <c r="B3" s="14"/>
      <c r="C3" s="15"/>
      <c r="D3" s="16"/>
      <c r="E3" s="17"/>
      <c r="F3" s="18"/>
    </row>
    <row r="4" spans="1:15">
      <c r="D4" s="19"/>
      <c r="E4" s="20"/>
      <c r="F4" s="19"/>
    </row>
    <row r="5" ht="16.35" spans="1:15">
      <c r="A5" s="21"/>
      <c r="B5" s="21"/>
      <c r="E5" s="22"/>
    </row>
    <row r="6" ht="29.85" customHeight="1" spans="1:15">
      <c r="A6" s="23"/>
      <c r="B6" s="23" t="s">
        <v>70</v>
      </c>
      <c r="C6" s="24" t="s">
        <v>71</v>
      </c>
      <c r="D6" s="25"/>
      <c r="E6" s="25"/>
      <c r="F6" s="26"/>
    </row>
    <row r="7" ht="27.6" customHeight="1" spans="1:15">
      <c r="A7" s="27"/>
      <c r="B7" s="27" t="s">
        <v>72</v>
      </c>
      <c r="C7" s="28" t="s">
        <v>73</v>
      </c>
      <c r="D7" s="29"/>
      <c r="E7" s="29"/>
      <c r="F7" s="30"/>
      <c r="O7" s="8">
        <v>0.8</v>
      </c>
    </row>
    <row r="8" ht="21.75" customHeight="1" spans="1:15">
      <c r="A8" s="27"/>
      <c r="B8" s="27" t="s">
        <v>74</v>
      </c>
      <c r="C8" s="31"/>
      <c r="D8" s="32"/>
      <c r="E8" s="32"/>
      <c r="F8" s="33"/>
      <c r="K8" s="32"/>
    </row>
    <row r="9" ht="29.1" customHeight="1" spans="1:15">
      <c r="A9" s="34"/>
      <c r="B9" s="34" t="s">
        <v>5</v>
      </c>
      <c r="C9" s="35" t="s">
        <v>6</v>
      </c>
      <c r="D9" s="35" t="s">
        <v>7</v>
      </c>
      <c r="E9" s="36" t="s">
        <v>8</v>
      </c>
      <c r="F9" s="37" t="s">
        <v>9</v>
      </c>
      <c r="J9" s="8" t="s">
        <v>10</v>
      </c>
    </row>
    <row r="10" customFormat="1" ht="30" hidden="1" customHeight="1" spans="1:15">
      <c r="A10" s="98"/>
      <c r="B10" s="98"/>
      <c r="C10" s="99"/>
      <c r="D10" s="99"/>
      <c r="E10" s="100"/>
      <c r="F10" s="101"/>
      <c r="I10" s="8"/>
      <c r="J10" s="8"/>
      <c r="K10" s="8"/>
      <c r="M10" s="8"/>
    </row>
    <row r="11" s="1" customFormat="1" ht="41.1" customHeight="1" spans="1:15">
      <c r="A11" s="38"/>
      <c r="B11" s="102" t="s">
        <v>75</v>
      </c>
      <c r="C11" s="40"/>
      <c r="D11" s="40"/>
      <c r="E11" s="41"/>
      <c r="F11" s="42"/>
      <c r="I11" s="1" t="s">
        <v>76</v>
      </c>
      <c r="J11" s="1">
        <v>760</v>
      </c>
      <c r="K11" s="43">
        <v>519000</v>
      </c>
      <c r="M11" s="44">
        <f>K11/J11</f>
        <v>682.894736842105</v>
      </c>
    </row>
    <row r="12" s="1" customFormat="1" ht="22" customHeight="1" spans="1:15">
      <c r="A12" s="45"/>
      <c r="B12" s="103"/>
      <c r="C12" s="104"/>
      <c r="D12" s="104"/>
      <c r="E12" s="104"/>
      <c r="F12" s="105"/>
    </row>
    <row r="13" s="1" customFormat="1" ht="72" customHeight="1" spans="1:15">
      <c r="A13" s="45">
        <v>1</v>
      </c>
      <c r="B13" s="106" t="s">
        <v>77</v>
      </c>
      <c r="C13" s="47" t="s">
        <v>23</v>
      </c>
      <c r="D13" s="47">
        <v>28</v>
      </c>
      <c r="E13" s="47">
        <v>575</v>
      </c>
      <c r="F13" s="107">
        <f>E13*D13</f>
        <v>16100</v>
      </c>
      <c r="O13" s="1">
        <v>2419.2</v>
      </c>
    </row>
    <row r="14" s="1" customFormat="1" ht="77.1" customHeight="1" spans="1:15">
      <c r="A14" s="45">
        <v>2</v>
      </c>
      <c r="B14" s="108" t="s">
        <v>78</v>
      </c>
      <c r="C14" s="51" t="s">
        <v>23</v>
      </c>
      <c r="D14" s="51">
        <v>20</v>
      </c>
      <c r="E14" s="51">
        <v>900</v>
      </c>
      <c r="F14" s="52">
        <v>18000</v>
      </c>
    </row>
    <row r="15" s="1" customFormat="1" ht="77.1" hidden="1" customHeight="1" spans="1:15">
      <c r="A15" s="45"/>
      <c r="B15" s="109"/>
      <c r="C15" s="51"/>
      <c r="D15" s="51"/>
      <c r="E15" s="51"/>
      <c r="F15" s="52"/>
    </row>
    <row r="16" s="1" customFormat="1" ht="77.1" customHeight="1" spans="1:15">
      <c r="A16" s="45">
        <v>3</v>
      </c>
      <c r="B16" s="109" t="s">
        <v>79</v>
      </c>
      <c r="C16" s="51" t="s">
        <v>6</v>
      </c>
      <c r="D16" s="51">
        <v>8</v>
      </c>
      <c r="E16" s="51">
        <v>735</v>
      </c>
      <c r="F16" s="52">
        <f>E16*D16</f>
        <v>5880</v>
      </c>
    </row>
    <row r="17" s="1" customFormat="1" ht="72" customHeight="1" spans="1:6">
      <c r="A17" s="45">
        <f>A16+1</f>
        <v>4</v>
      </c>
      <c r="B17" s="109" t="s">
        <v>80</v>
      </c>
      <c r="C17" s="51" t="s">
        <v>6</v>
      </c>
      <c r="D17" s="51">
        <v>28</v>
      </c>
      <c r="E17" s="110">
        <v>120</v>
      </c>
      <c r="F17" s="52">
        <f>E17*D17</f>
        <v>3360</v>
      </c>
    </row>
    <row r="18" s="1" customFormat="1" ht="56.1" customHeight="1" spans="1:6">
      <c r="A18" s="45">
        <v>5</v>
      </c>
      <c r="B18" s="109" t="s">
        <v>81</v>
      </c>
      <c r="C18" s="53" t="s">
        <v>23</v>
      </c>
      <c r="D18" s="53">
        <v>38</v>
      </c>
      <c r="E18" s="53">
        <v>175</v>
      </c>
      <c r="F18" s="52">
        <v>6650</v>
      </c>
    </row>
    <row r="19" s="1" customFormat="1" ht="56.1" customHeight="1" spans="1:6">
      <c r="A19" s="45">
        <v>6</v>
      </c>
      <c r="B19" s="109" t="s">
        <v>82</v>
      </c>
      <c r="C19" s="53" t="s">
        <v>6</v>
      </c>
      <c r="D19" s="53">
        <v>2</v>
      </c>
      <c r="E19" s="53">
        <v>3000</v>
      </c>
      <c r="F19" s="52">
        <f>E19*D19</f>
        <v>6000</v>
      </c>
    </row>
    <row r="20" s="1" customFormat="1" ht="61" customHeight="1" spans="1:6">
      <c r="A20" s="45">
        <v>7</v>
      </c>
      <c r="B20" s="109" t="s">
        <v>83</v>
      </c>
      <c r="C20" s="54" t="s">
        <v>6</v>
      </c>
      <c r="D20" s="54">
        <v>1</v>
      </c>
      <c r="E20" s="54">
        <v>5750</v>
      </c>
      <c r="F20" s="52">
        <v>5750</v>
      </c>
    </row>
    <row r="21" s="1" customFormat="1" ht="79" customHeight="1" spans="1:6">
      <c r="A21" s="45">
        <v>8</v>
      </c>
      <c r="B21" s="109" t="s">
        <v>84</v>
      </c>
      <c r="C21" s="54" t="s">
        <v>6</v>
      </c>
      <c r="D21" s="54">
        <v>1</v>
      </c>
      <c r="E21" s="54">
        <v>10990</v>
      </c>
      <c r="F21" s="52">
        <v>10990</v>
      </c>
    </row>
    <row r="22" s="1" customFormat="1" ht="64" customHeight="1" spans="1:6">
      <c r="A22" s="45">
        <v>9</v>
      </c>
      <c r="B22" s="109" t="s">
        <v>85</v>
      </c>
      <c r="C22" s="54" t="s">
        <v>6</v>
      </c>
      <c r="D22" s="54">
        <v>2</v>
      </c>
      <c r="E22" s="54">
        <v>550</v>
      </c>
      <c r="F22" s="52">
        <v>1100</v>
      </c>
    </row>
    <row r="23" s="1" customFormat="1" ht="58" customHeight="1" spans="1:6">
      <c r="A23" s="45">
        <v>10</v>
      </c>
      <c r="B23" s="109" t="s">
        <v>86</v>
      </c>
      <c r="C23" s="54" t="s">
        <v>6</v>
      </c>
      <c r="D23" s="54">
        <v>1</v>
      </c>
      <c r="E23" s="54">
        <v>3150</v>
      </c>
      <c r="F23" s="52">
        <v>3150</v>
      </c>
    </row>
    <row r="24" s="1" customFormat="1" ht="68.1" customHeight="1" spans="1:6">
      <c r="A24" s="45">
        <v>11</v>
      </c>
      <c r="B24" s="111" t="s">
        <v>87</v>
      </c>
      <c r="C24" s="54" t="s">
        <v>23</v>
      </c>
      <c r="D24" s="54">
        <v>3.9</v>
      </c>
      <c r="E24" s="54">
        <v>320</v>
      </c>
      <c r="F24" s="52">
        <v>1280</v>
      </c>
    </row>
    <row r="25" s="1" customFormat="1" ht="71.1" customHeight="1" spans="1:6">
      <c r="A25" s="45">
        <v>12</v>
      </c>
      <c r="B25" s="109" t="s">
        <v>88</v>
      </c>
      <c r="C25" s="54" t="s">
        <v>6</v>
      </c>
      <c r="D25" s="54">
        <v>1</v>
      </c>
      <c r="E25" s="54">
        <v>4200</v>
      </c>
      <c r="F25" s="52">
        <f>E25*D25</f>
        <v>4200</v>
      </c>
    </row>
    <row r="26" s="1" customFormat="1" ht="1" customHeight="1" spans="1:6">
      <c r="A26" s="45">
        <v>11</v>
      </c>
      <c r="B26" s="109"/>
      <c r="C26" s="54" t="s">
        <v>6</v>
      </c>
      <c r="D26" s="54">
        <v>1</v>
      </c>
      <c r="E26" s="54"/>
      <c r="F26" s="52">
        <f>E26*D26</f>
        <v>0</v>
      </c>
    </row>
    <row r="27" s="1" customFormat="1" ht="68.1" customHeight="1" spans="1:6">
      <c r="A27" s="45">
        <v>13</v>
      </c>
      <c r="B27" s="109" t="s">
        <v>89</v>
      </c>
      <c r="C27" s="54" t="s">
        <v>6</v>
      </c>
      <c r="D27" s="54">
        <v>1</v>
      </c>
      <c r="E27" s="54">
        <v>1340</v>
      </c>
      <c r="F27" s="52">
        <f>E27*D27</f>
        <v>1340</v>
      </c>
    </row>
    <row r="28" s="1" customFormat="1" ht="71.1" customHeight="1" spans="1:6">
      <c r="A28" s="45">
        <v>14</v>
      </c>
      <c r="B28" s="109" t="s">
        <v>90</v>
      </c>
      <c r="C28" s="54" t="s">
        <v>23</v>
      </c>
      <c r="D28" s="54">
        <v>4</v>
      </c>
      <c r="E28" s="54">
        <v>900</v>
      </c>
      <c r="F28" s="52">
        <v>3600</v>
      </c>
    </row>
    <row r="29" s="1" customFormat="1" ht="97" customHeight="1" spans="1:6">
      <c r="A29" s="45">
        <v>15</v>
      </c>
      <c r="B29" s="109" t="s">
        <v>91</v>
      </c>
      <c r="C29" s="54" t="s">
        <v>6</v>
      </c>
      <c r="D29" s="54">
        <v>1</v>
      </c>
      <c r="E29" s="54">
        <v>7745</v>
      </c>
      <c r="F29" s="52">
        <v>7745</v>
      </c>
    </row>
    <row r="30" s="1" customFormat="1" ht="89.1" customHeight="1" spans="1:6">
      <c r="A30" s="45"/>
      <c r="B30" s="108" t="s">
        <v>92</v>
      </c>
      <c r="C30" s="54" t="s">
        <v>18</v>
      </c>
      <c r="D30" s="54">
        <v>1</v>
      </c>
      <c r="E30" s="54">
        <v>3257</v>
      </c>
      <c r="F30" s="52">
        <v>3257</v>
      </c>
    </row>
    <row r="31" s="1" customFormat="1" ht="89.1" customHeight="1" spans="1:6">
      <c r="A31" s="45">
        <v>16</v>
      </c>
      <c r="B31" s="109" t="s">
        <v>93</v>
      </c>
      <c r="C31" s="54" t="s">
        <v>6</v>
      </c>
      <c r="D31" s="54">
        <v>1</v>
      </c>
      <c r="E31" s="54">
        <v>8980</v>
      </c>
      <c r="F31" s="52">
        <v>8980</v>
      </c>
    </row>
    <row r="32" s="1" customFormat="1" ht="92.1" customHeight="1" spans="1:6">
      <c r="A32" s="45">
        <v>17</v>
      </c>
      <c r="B32" s="109" t="s">
        <v>94</v>
      </c>
      <c r="C32" s="54" t="s">
        <v>6</v>
      </c>
      <c r="D32" s="54">
        <v>1</v>
      </c>
      <c r="E32" s="54">
        <v>2985</v>
      </c>
      <c r="F32" s="52">
        <v>2980</v>
      </c>
    </row>
    <row r="33" s="1" customFormat="1" ht="95.1" customHeight="1" spans="1:6">
      <c r="A33" s="45">
        <v>18</v>
      </c>
      <c r="B33" s="109" t="s">
        <v>95</v>
      </c>
      <c r="C33" s="54" t="s">
        <v>6</v>
      </c>
      <c r="D33" s="54">
        <v>1</v>
      </c>
      <c r="E33" s="54">
        <v>6870</v>
      </c>
      <c r="F33" s="52">
        <v>6870</v>
      </c>
    </row>
    <row r="34" s="1" customFormat="1" ht="93" customHeight="1" spans="1:6">
      <c r="A34" s="45">
        <v>19</v>
      </c>
      <c r="B34" s="109" t="s">
        <v>96</v>
      </c>
      <c r="C34" s="54" t="s">
        <v>6</v>
      </c>
      <c r="D34" s="54">
        <v>1</v>
      </c>
      <c r="E34" s="54">
        <v>7745</v>
      </c>
      <c r="F34" s="52">
        <v>7745</v>
      </c>
    </row>
    <row r="35" s="1" customFormat="1" ht="80.1" customHeight="1" spans="1:6">
      <c r="A35" s="45"/>
      <c r="B35" s="108" t="s">
        <v>97</v>
      </c>
      <c r="C35" s="54" t="s">
        <v>18</v>
      </c>
      <c r="D35" s="54">
        <v>1</v>
      </c>
      <c r="E35" s="54">
        <v>3257</v>
      </c>
      <c r="F35" s="52">
        <v>3257</v>
      </c>
    </row>
    <row r="36" s="1" customFormat="1" ht="100" customHeight="1" spans="1:6">
      <c r="A36" s="45"/>
      <c r="B36" s="109" t="s">
        <v>98</v>
      </c>
      <c r="C36" s="54" t="s">
        <v>6</v>
      </c>
      <c r="D36" s="54">
        <v>1</v>
      </c>
      <c r="E36" s="54">
        <v>15790</v>
      </c>
      <c r="F36" s="52">
        <v>15790</v>
      </c>
    </row>
    <row r="37" s="1" customFormat="1" ht="80.1" customHeight="1" spans="1:6">
      <c r="A37" s="45"/>
      <c r="B37" s="108" t="s">
        <v>99</v>
      </c>
      <c r="C37" s="54" t="s">
        <v>18</v>
      </c>
      <c r="D37" s="54">
        <v>1</v>
      </c>
      <c r="E37" s="54">
        <v>5350</v>
      </c>
      <c r="F37" s="52">
        <v>5350</v>
      </c>
    </row>
    <row r="38" s="1" customFormat="1" ht="80.1" customHeight="1" spans="1:6">
      <c r="A38" s="45"/>
      <c r="B38" s="109" t="s">
        <v>100</v>
      </c>
      <c r="C38" s="54" t="s">
        <v>6</v>
      </c>
      <c r="D38" s="54">
        <v>1</v>
      </c>
      <c r="E38" s="54">
        <v>5980</v>
      </c>
      <c r="F38" s="52">
        <f>E38*D38</f>
        <v>5980</v>
      </c>
    </row>
    <row r="39" s="1" customFormat="1" ht="54" customHeight="1" spans="1:6">
      <c r="A39" s="45"/>
      <c r="B39" s="109" t="s">
        <v>101</v>
      </c>
      <c r="C39" s="54" t="s">
        <v>6</v>
      </c>
      <c r="D39" s="54">
        <v>2</v>
      </c>
      <c r="E39" s="54">
        <v>845</v>
      </c>
      <c r="F39" s="52">
        <v>1690</v>
      </c>
    </row>
    <row r="40" s="1" customFormat="1" ht="54" customHeight="1" spans="1:6">
      <c r="A40" s="45"/>
      <c r="B40" s="109" t="s">
        <v>102</v>
      </c>
      <c r="C40" s="54" t="s">
        <v>6</v>
      </c>
      <c r="D40" s="54">
        <v>1</v>
      </c>
      <c r="E40" s="54">
        <v>990</v>
      </c>
      <c r="F40" s="52">
        <v>990</v>
      </c>
    </row>
    <row r="41" s="1" customFormat="1" ht="54" customHeight="1" spans="1:6">
      <c r="A41" s="45"/>
      <c r="B41" s="109" t="s">
        <v>103</v>
      </c>
      <c r="C41" s="54" t="s">
        <v>6</v>
      </c>
      <c r="D41" s="54">
        <v>1</v>
      </c>
      <c r="E41" s="54">
        <v>3250</v>
      </c>
      <c r="F41" s="52">
        <f>E41*D41</f>
        <v>3250</v>
      </c>
    </row>
    <row r="42" s="1" customFormat="1" ht="52" customHeight="1" spans="1:6">
      <c r="A42" s="45"/>
      <c r="B42" s="109" t="s">
        <v>104</v>
      </c>
      <c r="C42" s="54" t="s">
        <v>105</v>
      </c>
      <c r="D42" s="54">
        <v>18</v>
      </c>
      <c r="E42" s="54">
        <v>45</v>
      </c>
      <c r="F42" s="52">
        <v>810</v>
      </c>
    </row>
    <row r="43" s="1" customFormat="1" ht="67" customHeight="1" spans="1:6">
      <c r="A43" s="45"/>
      <c r="B43" s="109" t="s">
        <v>106</v>
      </c>
      <c r="C43" s="54" t="s">
        <v>6</v>
      </c>
      <c r="D43" s="54">
        <v>1</v>
      </c>
      <c r="E43" s="54">
        <v>10281</v>
      </c>
      <c r="F43" s="52">
        <v>10281</v>
      </c>
    </row>
    <row r="44" s="1" customFormat="1" ht="80.1" customHeight="1" spans="1:6">
      <c r="A44" s="45"/>
      <c r="B44" s="109" t="s">
        <v>107</v>
      </c>
      <c r="C44" s="54" t="s">
        <v>6</v>
      </c>
      <c r="D44" s="54">
        <v>1</v>
      </c>
      <c r="E44" s="54">
        <v>11650</v>
      </c>
      <c r="F44" s="52">
        <v>11650</v>
      </c>
    </row>
    <row r="45" s="1" customFormat="1" ht="80.1" customHeight="1" spans="1:6">
      <c r="A45" s="45"/>
      <c r="B45" s="109" t="s">
        <v>108</v>
      </c>
      <c r="C45" s="54" t="s">
        <v>6</v>
      </c>
      <c r="D45" s="54">
        <v>1</v>
      </c>
      <c r="E45" s="54">
        <v>18200</v>
      </c>
      <c r="F45" s="52">
        <v>18200</v>
      </c>
    </row>
    <row r="46" s="1" customFormat="1" ht="80.1" customHeight="1" spans="1:6">
      <c r="A46" s="45"/>
      <c r="B46" s="109" t="s">
        <v>109</v>
      </c>
      <c r="C46" s="54" t="s">
        <v>6</v>
      </c>
      <c r="D46" s="54">
        <v>1</v>
      </c>
      <c r="E46" s="54">
        <v>13200</v>
      </c>
      <c r="F46" s="52">
        <v>13200</v>
      </c>
    </row>
    <row r="47" s="1" customFormat="1" ht="80.1" customHeight="1" spans="1:6">
      <c r="A47" s="45"/>
      <c r="B47" s="109" t="s">
        <v>110</v>
      </c>
      <c r="C47" s="54" t="s">
        <v>18</v>
      </c>
      <c r="D47" s="54">
        <v>1</v>
      </c>
      <c r="E47" s="54">
        <v>6780</v>
      </c>
      <c r="F47" s="52">
        <v>6780</v>
      </c>
    </row>
    <row r="48" s="1" customFormat="1" ht="80.1" customHeight="1" spans="1:6">
      <c r="A48" s="45"/>
      <c r="B48" s="109" t="s">
        <v>111</v>
      </c>
      <c r="C48" s="54"/>
      <c r="D48" s="54"/>
      <c r="E48" s="54"/>
      <c r="F48" s="52"/>
    </row>
    <row r="49" s="1" customFormat="1" ht="38.1" customHeight="1" spans="1:8">
      <c r="A49" s="45"/>
      <c r="B49" s="56" t="s">
        <v>112</v>
      </c>
      <c r="C49" s="54"/>
      <c r="D49" s="54"/>
      <c r="E49" s="54"/>
      <c r="F49" s="52"/>
    </row>
    <row r="50" s="1" customFormat="1" ht="33" customHeight="1" spans="1:8">
      <c r="A50" s="45"/>
      <c r="B50" s="56" t="s">
        <v>113</v>
      </c>
      <c r="C50" s="54"/>
      <c r="D50" s="54"/>
      <c r="E50" s="54"/>
      <c r="F50" s="52"/>
    </row>
    <row r="51" s="1" customFormat="1" ht="33" customHeight="1" spans="1:8">
      <c r="A51" s="45"/>
      <c r="B51" s="56" t="s">
        <v>114</v>
      </c>
      <c r="C51" s="54"/>
      <c r="D51" s="54"/>
      <c r="E51" s="54"/>
      <c r="F51" s="52"/>
    </row>
    <row r="52" customFormat="1" ht="27.6" spans="1:8">
      <c r="A52" s="67"/>
      <c r="B52" s="59" t="s">
        <v>115</v>
      </c>
      <c r="C52" s="68"/>
      <c r="D52" s="68"/>
      <c r="E52" s="69"/>
      <c r="F52" s="70"/>
    </row>
    <row r="53" ht="27" customHeight="1" spans="1:8">
      <c r="A53" s="67"/>
      <c r="B53" s="63"/>
      <c r="C53" s="68"/>
      <c r="D53" s="68"/>
      <c r="E53" s="69"/>
      <c r="F53" s="70"/>
    </row>
    <row r="54" ht="26.1" customHeight="1" spans="1:8">
      <c r="A54" s="71"/>
      <c r="B54" s="63"/>
      <c r="C54" s="72" t="s">
        <v>61</v>
      </c>
      <c r="D54" s="73"/>
      <c r="E54" s="74"/>
      <c r="F54" s="75">
        <f>SUM(F13:F53)</f>
        <v>222205</v>
      </c>
      <c r="G54" s="76"/>
    </row>
    <row r="55" spans="1:8">
      <c r="A55" s="77"/>
      <c r="B55" s="77"/>
      <c r="C55" s="78" t="s">
        <v>62</v>
      </c>
      <c r="D55" s="79"/>
      <c r="E55" s="80"/>
      <c r="F55" s="81">
        <f>F54*0.15</f>
        <v>33330.75</v>
      </c>
    </row>
    <row r="56" ht="30" customHeight="1" spans="1:8">
      <c r="A56" s="8"/>
      <c r="B56" s="82" t="s">
        <v>63</v>
      </c>
      <c r="C56" s="83"/>
      <c r="D56" s="83"/>
      <c r="E56" s="84"/>
      <c r="F56" s="85">
        <f>F55+F54</f>
        <v>255535.75</v>
      </c>
    </row>
    <row r="57" spans="1:8">
      <c r="A57" s="86"/>
      <c r="B57" s="86"/>
    </row>
    <row r="58" spans="1:8">
      <c r="A58" s="86"/>
      <c r="B58" s="86" t="s">
        <v>116</v>
      </c>
    </row>
    <row r="59" s="3" customFormat="1" ht="22.5" customHeight="1" spans="1:8">
      <c r="A59" s="87"/>
      <c r="B59" s="87" t="s">
        <v>67</v>
      </c>
      <c r="C59" s="88"/>
      <c r="D59" s="88"/>
      <c r="E59" s="89"/>
      <c r="F59" s="88"/>
      <c r="G59" s="90"/>
      <c r="H59" s="88"/>
    </row>
    <row r="60" s="3" customFormat="1" ht="22.5" customHeight="1" spans="1:8">
      <c r="A60" s="91"/>
      <c r="B60" s="91" t="s">
        <v>117</v>
      </c>
      <c r="C60" s="88"/>
      <c r="D60" s="88"/>
      <c r="E60" s="89"/>
      <c r="F60" s="88"/>
      <c r="G60" s="90"/>
      <c r="H60" s="88"/>
    </row>
    <row r="61" s="3" customFormat="1" ht="22.5" customHeight="1" spans="1:8">
      <c r="A61" s="91"/>
      <c r="B61" s="91" t="s">
        <v>118</v>
      </c>
      <c r="C61" s="88"/>
      <c r="D61" s="88"/>
      <c r="E61" s="89"/>
      <c r="F61" s="88"/>
      <c r="G61" s="90"/>
      <c r="H61" s="88"/>
    </row>
    <row r="62" s="3" customFormat="1" ht="21" customHeight="1" spans="1:8">
      <c r="A62" s="87"/>
      <c r="B62" s="87"/>
      <c r="C62" s="88"/>
      <c r="D62" s="88"/>
      <c r="E62" s="89"/>
      <c r="F62" s="90"/>
    </row>
    <row r="63" spans="1:8">
      <c r="A63" s="92"/>
      <c r="B63" s="92"/>
      <c r="C63" s="88"/>
      <c r="D63" s="88"/>
      <c r="E63" s="89"/>
      <c r="F63" s="88"/>
    </row>
    <row r="64" spans="1:8">
      <c r="A64" s="92"/>
      <c r="B64" s="92" t="s">
        <v>119</v>
      </c>
      <c r="C64" s="88"/>
      <c r="D64" s="88"/>
      <c r="E64" s="89"/>
      <c r="F64" s="90"/>
    </row>
    <row r="65" spans="1:7">
      <c r="A65" s="93"/>
      <c r="B65" s="93"/>
      <c r="C65" s="88"/>
      <c r="D65" s="88"/>
      <c r="E65" s="89"/>
      <c r="F65" s="90"/>
    </row>
    <row r="66" spans="1:7">
      <c r="A66" s="93"/>
      <c r="B66" s="93"/>
      <c r="C66" s="88"/>
      <c r="D66" s="88"/>
      <c r="E66" s="89"/>
      <c r="F66" s="90"/>
    </row>
    <row r="67" ht="16.35" spans="1:7">
      <c r="A67" s="94"/>
      <c r="B67" s="94" t="s">
        <v>68</v>
      </c>
      <c r="C67" s="95"/>
      <c r="F67" s="6" t="s">
        <v>69</v>
      </c>
    </row>
    <row r="68" s="4" customFormat="1" ht="21" spans="1:7">
      <c r="A68" s="96" t="s">
        <v>120</v>
      </c>
      <c r="B68" s="96"/>
      <c r="C68" s="96"/>
      <c r="D68" s="96"/>
      <c r="E68" s="96"/>
      <c r="F68" s="96"/>
      <c r="G68" s="96"/>
    </row>
    <row r="69" ht="39" customHeight="1" spans="1:7">
      <c r="A69" s="97" t="s">
        <v>121</v>
      </c>
      <c r="B69" s="97"/>
      <c r="C69" s="97"/>
      <c r="D69" s="97"/>
      <c r="E69" s="97"/>
      <c r="F69" s="97"/>
      <c r="G69" s="97"/>
    </row>
    <row r="70" spans="1:7">
      <c r="G70" s="6"/>
    </row>
    <row r="71" spans="1:7">
      <c r="G71" s="6"/>
    </row>
    <row r="72" spans="1:7">
      <c r="G72" s="6"/>
    </row>
  </sheetData>
  <mergeCells count="7">
    <mergeCell ref="C6:F6"/>
    <mergeCell ref="C54:E54"/>
    <mergeCell ref="C55:E55"/>
    <mergeCell ref="B56:E56"/>
    <mergeCell ref="A68:G68"/>
    <mergeCell ref="A69:G69"/>
    <mergeCell ref="C7:F8"/>
  </mergeCells>
  <printOptions horizontalCentered="1"/>
  <pageMargins left="0.25" right="0" top="0.25" bottom="0" header="0.05" footer="0"/>
  <pageSetup paperSize="9" scale="80" orientation="portrait"/>
  <headerFooter/>
  <colBreaks count="1" manualBreakCount="1">
    <brk id="7" max="1048575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47"/>
  <sheetViews>
    <sheetView view="pageBreakPreview" zoomScaleNormal="109" topLeftCell="A2" workbookViewId="0">
      <selection activeCell="F29" sqref="B2:F29"/>
    </sheetView>
  </sheetViews>
  <sheetFormatPr defaultColWidth="9.15740740740741" defaultRowHeight="15.6"/>
  <cols>
    <col min="1" max="1" width="5.41666666666667" style="5" customWidth="1"/>
    <col min="2" max="2" width="88.8425925925926" style="5" customWidth="1"/>
    <col min="3" max="4" width="9" style="6" customWidth="1"/>
    <col min="5" max="5" width="12.4166666666667" style="7" customWidth="1"/>
    <col min="6" max="6" width="15.4166666666667" style="6" customWidth="1"/>
    <col min="7" max="7" width="1" style="8" customWidth="1"/>
    <col min="8" max="10" width="9.15740740740741" style="8"/>
    <col min="11" max="11" width="12.4166666666667" style="8" customWidth="1"/>
    <col min="12" max="16384" width="9.15740740740741" style="8"/>
  </cols>
  <sheetData>
    <row r="2" ht="35.1" customHeight="1" spans="1:15">
      <c r="A2" s="9"/>
      <c r="B2" s="9"/>
      <c r="C2" s="10"/>
      <c r="D2" s="11"/>
      <c r="E2" s="12"/>
      <c r="F2" s="13"/>
    </row>
    <row r="3" ht="20.85" customHeight="1" spans="1:15">
      <c r="A3" s="14"/>
      <c r="B3" s="14"/>
      <c r="C3" s="15"/>
      <c r="D3" s="16"/>
      <c r="E3" s="17"/>
      <c r="F3" s="18"/>
    </row>
    <row r="4" spans="1:15">
      <c r="D4" s="19"/>
      <c r="E4" s="20"/>
      <c r="F4" s="19"/>
    </row>
    <row r="5" ht="16.35" spans="1:15">
      <c r="A5" s="21"/>
      <c r="B5" s="21"/>
      <c r="E5" s="22"/>
    </row>
    <row r="6" ht="29.85" customHeight="1" spans="1:15">
      <c r="A6" s="23"/>
      <c r="B6" s="23" t="s">
        <v>122</v>
      </c>
      <c r="C6" s="24" t="s">
        <v>123</v>
      </c>
      <c r="D6" s="25"/>
      <c r="E6" s="25"/>
      <c r="F6" s="26"/>
    </row>
    <row r="7" ht="27.6" customHeight="1" spans="1:15">
      <c r="A7" s="27"/>
      <c r="B7" s="27" t="s">
        <v>124</v>
      </c>
      <c r="C7" s="28" t="s">
        <v>125</v>
      </c>
      <c r="D7" s="29"/>
      <c r="E7" s="29"/>
      <c r="F7" s="30"/>
      <c r="O7" s="8">
        <v>0.8</v>
      </c>
    </row>
    <row r="8" ht="21.75" customHeight="1" spans="1:15">
      <c r="A8" s="27"/>
      <c r="B8" s="27"/>
      <c r="C8" s="31"/>
      <c r="D8" s="32"/>
      <c r="E8" s="32"/>
      <c r="F8" s="33"/>
      <c r="K8" s="32"/>
    </row>
    <row r="9" ht="30" customHeight="1" spans="1:15">
      <c r="A9" s="34"/>
      <c r="B9" s="34" t="s">
        <v>5</v>
      </c>
      <c r="C9" s="35" t="s">
        <v>6</v>
      </c>
      <c r="D9" s="35" t="s">
        <v>7</v>
      </c>
      <c r="E9" s="36" t="s">
        <v>8</v>
      </c>
      <c r="F9" s="37" t="s">
        <v>9</v>
      </c>
      <c r="J9" s="8" t="s">
        <v>10</v>
      </c>
    </row>
    <row r="10" s="1" customFormat="1" ht="29.25" customHeight="1" spans="1:15">
      <c r="A10" s="38"/>
      <c r="B10" s="39" t="s">
        <v>126</v>
      </c>
      <c r="C10" s="40"/>
      <c r="D10" s="40"/>
      <c r="E10" s="41"/>
      <c r="F10" s="42"/>
      <c r="I10" s="1" t="s">
        <v>76</v>
      </c>
      <c r="J10" s="1">
        <v>760</v>
      </c>
      <c r="K10" s="43">
        <v>519000</v>
      </c>
      <c r="M10" s="44">
        <f>K10/J10</f>
        <v>682.894736842105</v>
      </c>
    </row>
    <row r="11" s="1" customFormat="1" ht="41.25" customHeight="1" spans="1:15">
      <c r="A11" s="45"/>
      <c r="B11" s="46" t="s">
        <v>127</v>
      </c>
      <c r="C11" s="47"/>
      <c r="D11" s="48"/>
      <c r="E11" s="48"/>
      <c r="F11" s="49"/>
      <c r="O11" s="1">
        <v>2419.2</v>
      </c>
    </row>
    <row r="12" s="1" customFormat="1" ht="57.6" customHeight="1" spans="1:15">
      <c r="A12" s="45">
        <v>1</v>
      </c>
      <c r="B12" s="50" t="s">
        <v>128</v>
      </c>
      <c r="C12" s="51" t="s">
        <v>129</v>
      </c>
      <c r="D12" s="51">
        <v>4</v>
      </c>
      <c r="E12" s="51"/>
      <c r="F12" s="52"/>
    </row>
    <row r="13" s="1" customFormat="1" ht="57.6" customHeight="1" spans="1:15">
      <c r="A13" s="45">
        <f>A12+1</f>
        <v>2</v>
      </c>
      <c r="B13" s="50" t="s">
        <v>130</v>
      </c>
      <c r="C13" s="51" t="s">
        <v>129</v>
      </c>
      <c r="D13" s="51">
        <v>3</v>
      </c>
      <c r="E13" s="51"/>
      <c r="F13" s="52"/>
    </row>
    <row r="14" s="1" customFormat="1" ht="57.6" customHeight="1" spans="1:15">
      <c r="A14" s="45">
        <f t="shared" ref="A14:A23" si="0">A13+1</f>
        <v>3</v>
      </c>
      <c r="B14" s="50" t="s">
        <v>131</v>
      </c>
      <c r="C14" s="53" t="s">
        <v>129</v>
      </c>
      <c r="D14" s="53">
        <v>1</v>
      </c>
      <c r="E14" s="53"/>
      <c r="F14" s="52"/>
    </row>
    <row r="15" s="1" customFormat="1" ht="57.6" customHeight="1" spans="1:15">
      <c r="A15" s="45">
        <f t="shared" si="0"/>
        <v>4</v>
      </c>
      <c r="B15" s="50"/>
      <c r="C15" s="54"/>
      <c r="D15" s="54"/>
      <c r="E15" s="54"/>
      <c r="F15" s="52"/>
    </row>
    <row r="16" s="1" customFormat="1" ht="57.6" customHeight="1" spans="1:15">
      <c r="A16" s="45">
        <f t="shared" si="0"/>
        <v>5</v>
      </c>
      <c r="B16" s="55"/>
      <c r="C16" s="53"/>
      <c r="D16" s="53"/>
      <c r="E16" s="53"/>
      <c r="F16" s="52"/>
    </row>
    <row r="17" s="1" customFormat="1" ht="57.6" customHeight="1" spans="1:15">
      <c r="A17" s="45">
        <f t="shared" si="0"/>
        <v>6</v>
      </c>
      <c r="B17" s="55"/>
      <c r="C17" s="54"/>
      <c r="D17" s="54"/>
      <c r="E17" s="54"/>
      <c r="F17" s="52"/>
    </row>
    <row r="18" s="1" customFormat="1" ht="57.6" customHeight="1" spans="1:15">
      <c r="A18" s="45">
        <f t="shared" si="0"/>
        <v>7</v>
      </c>
      <c r="B18" s="55"/>
      <c r="C18" s="54"/>
      <c r="D18" s="54"/>
      <c r="E18" s="54"/>
      <c r="F18" s="52"/>
    </row>
    <row r="19" s="1" customFormat="1" ht="57.6" customHeight="1" spans="1:15">
      <c r="A19" s="45">
        <f t="shared" si="0"/>
        <v>8</v>
      </c>
      <c r="B19" s="50"/>
      <c r="C19" s="54"/>
      <c r="D19" s="54"/>
      <c r="E19" s="54"/>
      <c r="F19" s="52"/>
    </row>
    <row r="20" s="1" customFormat="1" ht="57.6" customHeight="1" spans="1:15">
      <c r="A20" s="45">
        <f t="shared" si="0"/>
        <v>9</v>
      </c>
      <c r="B20" s="55"/>
      <c r="C20" s="54"/>
      <c r="D20" s="54"/>
      <c r="E20" s="54"/>
      <c r="F20" s="52"/>
    </row>
    <row r="21" s="1" customFormat="1" ht="57.6" customHeight="1" spans="1:15">
      <c r="A21" s="45">
        <f t="shared" si="0"/>
        <v>10</v>
      </c>
      <c r="B21" s="50"/>
      <c r="C21" s="54"/>
      <c r="D21" s="54"/>
      <c r="E21" s="54"/>
      <c r="F21" s="52"/>
    </row>
    <row r="22" s="1" customFormat="1" ht="57.6" customHeight="1" spans="1:15">
      <c r="A22" s="45">
        <f t="shared" si="0"/>
        <v>11</v>
      </c>
      <c r="B22" s="50"/>
      <c r="C22" s="54"/>
      <c r="D22" s="54"/>
      <c r="E22" s="54"/>
      <c r="F22" s="52"/>
    </row>
    <row r="23" s="1" customFormat="1" ht="57.6" customHeight="1" spans="1:15">
      <c r="A23" s="45">
        <f t="shared" si="0"/>
        <v>12</v>
      </c>
      <c r="B23" s="50"/>
      <c r="C23" s="54"/>
      <c r="D23" s="54"/>
      <c r="E23" s="54"/>
      <c r="F23" s="52"/>
    </row>
    <row r="24" s="2" customFormat="1" ht="61" customHeight="1" spans="1:15">
      <c r="A24" s="45"/>
      <c r="B24" s="56"/>
      <c r="C24" s="57"/>
      <c r="D24" s="57"/>
      <c r="E24" s="58"/>
      <c r="F24" s="52"/>
      <c r="O24" s="2">
        <v>3531.6</v>
      </c>
    </row>
    <row r="25" s="2" customFormat="1" ht="30" customHeight="1" spans="1:15">
      <c r="A25" s="45"/>
      <c r="B25" s="56"/>
      <c r="C25" s="57"/>
      <c r="D25" s="57"/>
      <c r="E25" s="58"/>
      <c r="F25" s="52"/>
      <c r="O25" s="2">
        <v>1985.2</v>
      </c>
    </row>
    <row r="26" s="2" customFormat="1" ht="20.1" customHeight="1" spans="1:15">
      <c r="A26" s="59"/>
      <c r="B26" s="59"/>
      <c r="C26" s="60"/>
      <c r="D26" s="60"/>
      <c r="E26" s="61"/>
      <c r="F26" s="62"/>
    </row>
    <row r="27" s="2" customFormat="1" ht="37.75" customHeight="1" spans="1:15">
      <c r="A27" s="63"/>
      <c r="B27" s="63"/>
      <c r="C27" s="60"/>
      <c r="D27" s="64"/>
      <c r="E27" s="65"/>
      <c r="F27" s="66"/>
    </row>
    <row r="28" s="2" customFormat="1" ht="37.75" customHeight="1" spans="1:15">
      <c r="A28" s="63"/>
      <c r="B28" s="63"/>
      <c r="C28" s="60"/>
      <c r="D28" s="64"/>
      <c r="E28" s="65"/>
      <c r="F28" s="66"/>
    </row>
    <row r="29" s="2" customFormat="1" ht="42.6" customHeight="1" spans="1:15">
      <c r="A29" s="63"/>
      <c r="B29" s="63"/>
      <c r="C29" s="60"/>
      <c r="D29" s="60"/>
      <c r="E29" s="61"/>
      <c r="F29" s="66"/>
    </row>
    <row r="30" spans="1:15">
      <c r="A30" s="67"/>
      <c r="B30" s="67"/>
      <c r="C30" s="68"/>
      <c r="D30" s="68"/>
      <c r="E30" s="69"/>
      <c r="F30" s="70"/>
    </row>
    <row r="31" ht="16.35" customHeight="1" spans="1:15">
      <c r="A31" s="71"/>
      <c r="B31" s="71"/>
      <c r="C31" s="72" t="s">
        <v>61</v>
      </c>
      <c r="D31" s="73"/>
      <c r="E31" s="74"/>
      <c r="F31" s="75">
        <f>SUM(F11:F30)</f>
        <v>0</v>
      </c>
      <c r="G31" s="76"/>
    </row>
    <row r="32" spans="1:15">
      <c r="A32" s="77"/>
      <c r="B32" s="77"/>
      <c r="C32" s="78" t="s">
        <v>62</v>
      </c>
      <c r="D32" s="79"/>
      <c r="E32" s="80"/>
      <c r="F32" s="81">
        <f>F31*0.15</f>
        <v>0</v>
      </c>
    </row>
    <row r="33" ht="30" customHeight="1" spans="1:8">
      <c r="A33" s="8"/>
      <c r="B33" s="82" t="s">
        <v>63</v>
      </c>
      <c r="C33" s="83"/>
      <c r="D33" s="83"/>
      <c r="E33" s="84"/>
      <c r="F33" s="85">
        <f>F32+F31</f>
        <v>0</v>
      </c>
    </row>
    <row r="34" spans="1:8">
      <c r="A34" s="86"/>
      <c r="B34" s="86"/>
    </row>
    <row r="35" s="3" customFormat="1" ht="22.5" customHeight="1" spans="1:8">
      <c r="A35" s="87"/>
      <c r="B35" s="87" t="s">
        <v>132</v>
      </c>
      <c r="C35" s="88"/>
      <c r="D35" s="88"/>
      <c r="E35" s="89"/>
      <c r="F35" s="88"/>
      <c r="G35" s="90"/>
      <c r="H35" s="88"/>
    </row>
    <row r="36" s="3" customFormat="1" ht="22.5" customHeight="1" spans="1:8">
      <c r="A36" s="91"/>
      <c r="B36" s="91" t="s">
        <v>117</v>
      </c>
      <c r="C36" s="88"/>
      <c r="D36" s="88"/>
      <c r="E36" s="89"/>
      <c r="F36" s="88"/>
      <c r="G36" s="90"/>
      <c r="H36" s="88"/>
    </row>
    <row r="37" s="3" customFormat="1" ht="22.5" customHeight="1" spans="1:8">
      <c r="A37" s="91"/>
      <c r="B37" s="91" t="s">
        <v>118</v>
      </c>
      <c r="C37" s="88"/>
      <c r="D37" s="88"/>
      <c r="E37" s="89"/>
      <c r="F37" s="88"/>
      <c r="G37" s="90"/>
      <c r="H37" s="88"/>
    </row>
    <row r="38" s="3" customFormat="1" ht="21" customHeight="1" spans="1:8">
      <c r="A38" s="87"/>
      <c r="B38" s="87" t="s">
        <v>133</v>
      </c>
      <c r="C38" s="88"/>
      <c r="D38" s="88"/>
      <c r="E38" s="89"/>
      <c r="F38" s="90"/>
    </row>
    <row r="39" spans="1:8">
      <c r="A39" s="92"/>
      <c r="B39" s="92" t="s">
        <v>134</v>
      </c>
      <c r="C39" s="88"/>
      <c r="D39" s="88"/>
      <c r="E39" s="89"/>
      <c r="F39" s="88"/>
    </row>
    <row r="40" spans="1:8">
      <c r="A40" s="92"/>
      <c r="B40" s="92" t="s">
        <v>119</v>
      </c>
      <c r="C40" s="88"/>
      <c r="D40" s="88"/>
      <c r="E40" s="89"/>
      <c r="F40" s="90"/>
    </row>
    <row r="41" spans="1:8">
      <c r="A41" s="93"/>
      <c r="B41" s="93"/>
      <c r="C41" s="88"/>
      <c r="D41" s="88"/>
      <c r="E41" s="89"/>
      <c r="F41" s="90"/>
    </row>
    <row r="42" ht="16.35" spans="1:8">
      <c r="A42" s="94"/>
      <c r="B42" s="94" t="s">
        <v>68</v>
      </c>
      <c r="C42" s="95"/>
      <c r="F42" s="6" t="s">
        <v>69</v>
      </c>
    </row>
    <row r="43" s="4" customFormat="1" ht="21" spans="1:8">
      <c r="A43" s="96" t="s">
        <v>120</v>
      </c>
      <c r="B43" s="96"/>
      <c r="C43" s="96"/>
      <c r="D43" s="96"/>
      <c r="E43" s="96"/>
      <c r="F43" s="96"/>
      <c r="G43" s="96"/>
    </row>
    <row r="44" ht="39" customHeight="1" spans="1:8">
      <c r="A44" s="97" t="s">
        <v>121</v>
      </c>
      <c r="B44" s="97"/>
      <c r="C44" s="97"/>
      <c r="D44" s="97"/>
      <c r="E44" s="97"/>
      <c r="F44" s="97"/>
      <c r="G44" s="97"/>
    </row>
    <row r="45" spans="1:8">
      <c r="G45" s="6"/>
    </row>
    <row r="46" spans="1:8">
      <c r="G46" s="6"/>
    </row>
    <row r="47" spans="1:8">
      <c r="G47" s="6"/>
    </row>
  </sheetData>
  <mergeCells count="7">
    <mergeCell ref="C6:F6"/>
    <mergeCell ref="C31:E31"/>
    <mergeCell ref="C32:E32"/>
    <mergeCell ref="B33:E33"/>
    <mergeCell ref="A43:G43"/>
    <mergeCell ref="A44:G44"/>
    <mergeCell ref="C7:F8"/>
  </mergeCells>
  <printOptions horizontalCentered="1"/>
  <pageMargins left="0" right="0" top="0.5" bottom="0" header="0.05" footer="0"/>
  <pageSetup paperSize="9" scale="70" orientation="portrait"/>
  <headerFooter/>
  <colBreaks count="1" manualBreakCount="1">
    <brk id="7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nabati rest. (3)</vt:lpstr>
      <vt:lpstr>nabati rest. (2)</vt:lpstr>
      <vt:lpstr>nabati rest.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Fakeih Group</dc:creator>
  <cp:lastModifiedBy>WPS_1777978253</cp:lastModifiedBy>
  <dcterms:created xsi:type="dcterms:W3CDTF">2024-03-03T19:36:00Z</dcterms:created>
  <cp:lastPrinted>2026-01-01T18:02:00Z</cp:lastPrinted>
  <dcterms:modified xsi:type="dcterms:W3CDTF">2026-07-26T14:40:14Z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3ACC2D4F7C6845C1B33C9E4F8E13EA62_12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